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77a5f67a2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6614fbabfc4fe6"/>
  </x:sheets>
  <x:definedNames>
    <x:definedName name="_xlnm._FilterDatabase" localSheetId="0" hidden="1">'Sheet1'!$A$1:$P$271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  <x:family val="2"/>
      <x:scheme val="minor"/>
    </x:font>
    <x:font>
      <x:b/>
    </x:font>
    <x:font/>
  </x:fonts>
  <x:fills count="3">
    <x:fill>
      <x:patternFill patternType="none"/>
    </x:fill>
    <x:fill>
      <x:patternFill patternType="gray125"/>
    </x:fill>
    <x:fill>
      <x:patternFill patternType="solid">
        <x:fgColor rgb="00DCE6F1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Alignment="1">
      <x:alignment horizontal="center"/>
    </x:xf>
    <x:xf numFmtId="0" fontId="1" fillId="2" borderId="1" xfId="0" applyAlignment="1">
      <x:alignment horizontal="center" vertical="center" wrapText="1"/>
    </x:xf>
    <x:xf numFmtId="0" fontId="2" fillId="0" borderId="1" xfId="0" applyAlignment="1">
      <x:alignment horizontal="center" vertical="center" wrapText="1"/>
    </x:xf>
    <x:xf numFmtId="0" fontId="2" fillId="0" borderId="1" xfId="0" applyAlignment="1">
      <x:alignment horizontal="left" vertical="center" wrapText="1"/>
    </x:xf>
    <x:xf numFmtId="0" fontId="0" fillId="0" borderId="1" xfId="0" applyAlignment="1">
      <x:alignment horizontal="left" vertical="center" wrapText="1"/>
    </x:xf>
    <x:xf numFmtId="1" fontId="0" fillId="0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1" fontId="2" fillId="0" borderId="1" xfId="0" applyAlignment="1">
      <x:alignment horizontal="center" vertical="center" wrapText="1"/>
    </x:xf>
    <x:xf numFmtId="2" fontId="2" fillId="0" borderId="1" xfId="0" applyAlignment="1">
      <x:alignment horizontal="center" vertical="center" wrapText="1"/>
    </x:xf>
    <x:xf numFmtId="2" fontId="0" fillId="0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aa402571a4188" /><Relationship Type="http://schemas.openxmlformats.org/officeDocument/2006/relationships/theme" Target="/xl/theme/theme1.xml" Id="Rf5c3758dc67c49be" /><Relationship Type="http://schemas.openxmlformats.org/officeDocument/2006/relationships/sharedStrings" Target="/xl/sharedStrings.xml" Id="R40fdc34686d346ef" /><Relationship Type="http://schemas.openxmlformats.org/officeDocument/2006/relationships/worksheet" Target="/xl/worksheets/sheet1.xml" Id="R7c6614fbabfc4fe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399999618530273"/>
  <x:cols>
    <x:col min="1" max="1" width="16" customWidth="1"/>
    <x:col min="2" max="2" width="24" customWidth="1"/>
    <x:col min="3" max="3" width="30" customWidth="1"/>
    <x:col min="4" max="4" width="12" customWidth="1"/>
    <x:col min="5" max="5" width="12" customWidth="1"/>
    <x:col min="6" max="6" width="12" customWidth="1"/>
    <x:col min="7" max="7" width="12" customWidth="1"/>
    <x:col min="8" max="8" width="10" customWidth="1"/>
    <x:col min="9" max="9" width="8" customWidth="1"/>
    <x:col min="10" max="10" width="16" customWidth="1"/>
    <x:col min="11" max="11" width="14" customWidth="1"/>
    <x:col min="12" max="12" width="15" customWidth="1"/>
    <x:col min="13" max="13" width="16" customWidth="1"/>
    <x:col min="14" max="14" width="13" customWidth="1"/>
    <x:col min="15" max="15" width="12" customWidth="1"/>
    <x:col min="16" max="16" width="12" customWidth="1"/>
  </x:cols>
  <x:sheetData>
    <x:row r="1">
      <x:c r="A1" s="2" t="inlineStr">
        <x:is>
          <x:t xml:space="preserve">Student Number</x:t>
        </x:is>
      </x:c>
      <x:c r="B1" s="2" t="inlineStr">
        <x:is>
          <x:t xml:space="preserve">Full Name</x:t>
        </x:is>
      </x:c>
      <x:c r="C1" s="2" t="inlineStr">
        <x:is>
          <x:t xml:space="preserve">Subject</x:t>
        </x:is>
      </x:c>
      <x:c r="D1" s="2" t="inlineStr">
        <x:is>
          <x:t xml:space="preserve">First Test</x:t>
        </x:is>
      </x:c>
      <x:c r="E1" s="2" t="inlineStr">
        <x:is>
          <x:t xml:space="preserve">Second Test</x:t>
        </x:is>
      </x:c>
      <x:c r="F1" s="2" t="inlineStr">
        <x:is>
          <x:t xml:space="preserve">Examination</x:t>
        </x:is>
      </x:c>
      <x:c r="G1" s="2" t="inlineStr">
        <x:is>
          <x:t xml:space="preserve">Total Grades</x:t>
        </x:is>
      </x:c>
      <x:c r="H1" s="2" t="inlineStr">
        <x:is>
          <x:t xml:space="preserve">Position</x:t>
        </x:is>
      </x:c>
      <x:c r="I1" s="2" t="inlineStr">
        <x:is>
          <x:t xml:space="preserve">Grade</x:t>
        </x:is>
      </x:c>
      <x:c r="J1" s="2" t="inlineStr">
        <x:is>
          <x:t xml:space="preserve">Remarks</x:t>
        </x:is>
      </x:c>
      <x:c r="K1" s="2" t="inlineStr">
        <x:is>
          <x:t xml:space="preserve">Total First Test</x:t>
        </x:is>
      </x:c>
      <x:c r="L1" s="2" t="inlineStr">
        <x:is>
          <x:t xml:space="preserve">Total Second Test</x:t>
        </x:is>
      </x:c>
      <x:c r="M1" s="2" t="inlineStr">
        <x:is>
          <x:t xml:space="preserve">Total Examination</x:t>
        </x:is>
      </x:c>
      <x:c r="N1" s="2" t="inlineStr">
        <x:is>
          <x:t xml:space="preserve">Overall Total</x:t>
        </x:is>
      </x:c>
      <x:c r="O1" s="2" t="inlineStr">
        <x:is>
          <x:t xml:space="preserve">Mark Average</x:t>
        </x:is>
      </x:c>
      <x:c r="P1" s="2" t="inlineStr">
        <x:is>
          <x:t xml:space="preserve">Class Average</x:t>
        </x:is>
      </x:c>
    </x:row>
    <x:row r="2">
      <x:c r="A2" s="3" t="n">
        <x:v>1</x:v>
      </x:c>
      <x:c r="B2" s="4" t="inlineStr">
        <x:is>
          <x:t xml:space="preserve">Daniel Okoro</x:t>
        </x:is>
      </x:c>
      <x:c r="C2" s="5" t="inlineStr">
        <x:is>
          <x:t xml:space="preserve">Mathematics</x:t>
        </x:is>
      </x:c>
      <x:c r="D2" s="6" t="n">
        <x:v>9</x:v>
      </x:c>
      <x:c r="E2" s="6" t="n">
        <x:v>12</x:v>
      </x:c>
      <x:c r="F2" s="6" t="n">
        <x:v>39</x:v>
      </x:c>
      <x:c r="G2" s="6">
        <x:f>D2+E2+F2</x:f>
        <x:v>60</x:v>
      </x:c>
      <x:c r="H2" s="6">
        <x:f>1+SUMPRODUCT(($C$2:$C$271=C2)*($G$2:$G$271&gt;G2))</x:f>
        <x:v>15</x:v>
      </x:c>
      <x:c r="I2" s="7" t="str">
        <x:f>IF(G2&gt;=70,"A",IF(G2&gt;=60,"B",IF(G2&gt;=50,"C",IF(G2&gt;=40,"D","E"))))</x:f>
        <x:v>B</x:v>
      </x:c>
      <x:c r="J2" s="5" t="str">
        <x:f>IF(G2&gt;=70,"Excellent",IF(G2&gt;=60,"Very Good",IF(G2&gt;=50,"Good",IF(G2&gt;=40,"Fair","Needs Improvement"))))</x:f>
        <x:v>Very Good</x:v>
      </x:c>
      <x:c r="K2" s="8">
        <x:f>SUM(D2:D10)</x:f>
        <x:v>74</x:v>
      </x:c>
      <x:c r="L2" s="8">
        <x:f>SUM(E2:E10)</x:f>
        <x:v>134</x:v>
      </x:c>
      <x:c r="M2" s="8">
        <x:f>SUM(F2:F10)</x:f>
        <x:v>492</x:v>
      </x:c>
      <x:c r="N2" s="8">
        <x:f>SUM(G2:G10)</x:f>
        <x:v>700</x:v>
      </x:c>
      <x:c r="O2" s="9">
        <x:f>ROUND(AVERAGE(G2:G10),2)</x:f>
        <x:v>77.78</x:v>
      </x:c>
      <x:c r="P2" s="9">
        <x:f>ROUND(AVERAGE($G$2:$G$271),2)</x:f>
        <x:v>67.88</x:v>
      </x:c>
    </x:row>
    <x:row r="3">
      <x:c r="A3" s="7" t="n"/>
      <x:c r="B3" s="5" t="n"/>
      <x:c r="C3" s="5" t="inlineStr">
        <x:is>
          <x:t xml:space="preserve">English Studies</x:t>
        </x:is>
      </x:c>
      <x:c r="D3" s="6" t="n">
        <x:v>5</x:v>
      </x:c>
      <x:c r="E3" s="6" t="n">
        <x:v>11</x:v>
      </x:c>
      <x:c r="F3" s="6" t="n">
        <x:v>50</x:v>
      </x:c>
      <x:c r="G3" s="6">
        <x:f>D3+E3+F3</x:f>
        <x:v>66</x:v>
      </x:c>
      <x:c r="H3" s="6">
        <x:f>1+SUMPRODUCT(($C$2:$C$271=C3)*($G$2:$G$271&gt;G3))</x:f>
        <x:v>16</x:v>
      </x:c>
      <x:c r="I3" s="7" t="str">
        <x:f>IF(G3&gt;=70,"A",IF(G3&gt;=60,"B",IF(G3&gt;=50,"C",IF(G3&gt;=40,"D","E"))))</x:f>
        <x:v>B</x:v>
      </x:c>
      <x:c r="J3" s="5" t="str">
        <x:f>IF(G3&gt;=70,"Excellent",IF(G3&gt;=60,"Very Good",IF(G3&gt;=50,"Good",IF(G3&gt;=40,"Fair","Needs Improvement"))))</x:f>
        <x:v>Very Good</x:v>
      </x:c>
      <x:c r="K3" s="6" t="n"/>
      <x:c r="L3" s="6" t="n"/>
      <x:c r="M3" s="6" t="n"/>
      <x:c r="N3" s="6" t="n"/>
      <x:c r="O3" s="10" t="n"/>
      <x:c r="P3" s="10" t="n"/>
    </x:row>
    <x:row r="4">
      <x:c r="A4" s="7" t="n"/>
      <x:c r="B4" s="5" t="n"/>
      <x:c r="C4" s="5" t="inlineStr">
        <x:is>
          <x:t xml:space="preserve">Basic Science and Technology</x:t>
        </x:is>
      </x:c>
      <x:c r="D4" s="6" t="n">
        <x:v>10</x:v>
      </x:c>
      <x:c r="E4" s="6" t="n">
        <x:v>18</x:v>
      </x:c>
      <x:c r="F4" s="6" t="n">
        <x:v>54</x:v>
      </x:c>
      <x:c r="G4" s="6">
        <x:f>D4+E4+F4</x:f>
        <x:v>82</x:v>
      </x:c>
      <x:c r="H4" s="6">
        <x:f>1+SUMPRODUCT(($C$2:$C$271=C4)*($G$2:$G$271&gt;G4))</x:f>
        <x:v>6</x:v>
      </x:c>
      <x:c r="I4" s="7" t="str">
        <x:f>IF(G4&gt;=70,"A",IF(G4&gt;=60,"B",IF(G4&gt;=50,"C",IF(G4&gt;=40,"D","E"))))</x:f>
        <x:v>A</x:v>
      </x:c>
      <x:c r="J4" s="5" t="str">
        <x:f>IF(G4&gt;=70,"Excellent",IF(G4&gt;=60,"Very Good",IF(G4&gt;=50,"Good",IF(G4&gt;=40,"Fair","Needs Improvement"))))</x:f>
        <x:v>Excellent</x:v>
      </x:c>
      <x:c r="K4" s="6" t="n"/>
      <x:c r="L4" s="6" t="n"/>
      <x:c r="M4" s="6" t="n"/>
      <x:c r="N4" s="6" t="n"/>
      <x:c r="O4" s="10" t="n"/>
      <x:c r="P4" s="10" t="n"/>
    </x:row>
    <x:row r="5">
      <x:c r="A5" s="7" t="n"/>
      <x:c r="B5" s="5" t="n"/>
      <x:c r="C5" s="5" t="inlineStr">
        <x:is>
          <x:t xml:space="preserve">Pre-Vocational Studies</x:t>
        </x:is>
      </x:c>
      <x:c r="D5" s="6" t="n">
        <x:v>4</x:v>
      </x:c>
      <x:c r="E5" s="6" t="n">
        <x:v>12</x:v>
      </x:c>
      <x:c r="F5" s="6" t="n">
        <x:v>40</x:v>
      </x:c>
      <x:c r="G5" s="6">
        <x:f>D5+E5+F5</x:f>
        <x:v>56</x:v>
      </x:c>
      <x:c r="H5" s="6">
        <x:f>1+SUMPRODUCT(($C$2:$C$271=C5)*($G$2:$G$271&gt;G5))</x:f>
        <x:v>23</x:v>
      </x:c>
      <x:c r="I5" s="7" t="str">
        <x:f>IF(G5&gt;=70,"A",IF(G5&gt;=60,"B",IF(G5&gt;=50,"C",IF(G5&gt;=40,"D","E"))))</x:f>
        <x:v>C</x:v>
      </x:c>
      <x:c r="J5" s="5" t="str">
        <x:f>IF(G5&gt;=70,"Excellent",IF(G5&gt;=60,"Very Good",IF(G5&gt;=50,"Good",IF(G5&gt;=40,"Fair","Needs Improvement"))))</x:f>
        <x:v>Good</x:v>
      </x:c>
      <x:c r="K5" s="6" t="n"/>
      <x:c r="L5" s="6" t="n"/>
      <x:c r="M5" s="6" t="n"/>
      <x:c r="N5" s="6" t="n"/>
      <x:c r="O5" s="10" t="n"/>
      <x:c r="P5" s="10" t="n"/>
    </x:row>
    <x:row r="6">
      <x:c r="A6" s="7" t="n"/>
      <x:c r="B6" s="5" t="n"/>
      <x:c r="C6" s="5" t="inlineStr">
        <x:is>
          <x:t xml:space="preserve">National Value</x:t>
        </x:is>
      </x:c>
      <x:c r="D6" s="6" t="n">
        <x:v>9</x:v>
      </x:c>
      <x:c r="E6" s="6" t="n">
        <x:v>10</x:v>
      </x:c>
      <x:c r="F6" s="6" t="n">
        <x:v>61</x:v>
      </x:c>
      <x:c r="G6" s="6">
        <x:f>D6+E6+F6</x:f>
        <x:v>80</x:v>
      </x:c>
      <x:c r="H6" s="6">
        <x:f>1+SUMPRODUCT(($C$2:$C$271=C6)*($G$2:$G$271&gt;G6))</x:f>
        <x:v>7</x:v>
      </x:c>
      <x:c r="I6" s="7" t="str">
        <x:f>IF(G6&gt;=70,"A",IF(G6&gt;=60,"B",IF(G6&gt;=50,"C",IF(G6&gt;=40,"D","E"))))</x:f>
        <x:v>A</x:v>
      </x:c>
      <x:c r="J6" s="5" t="str">
        <x:f>IF(G6&gt;=70,"Excellent",IF(G6&gt;=60,"Very Good",IF(G6&gt;=50,"Good",IF(G6&gt;=40,"Fair","Needs Improvement"))))</x:f>
        <x:v>Excellent</x:v>
      </x:c>
      <x:c r="K6" s="6" t="n"/>
      <x:c r="L6" s="6" t="n"/>
      <x:c r="M6" s="6" t="n"/>
      <x:c r="N6" s="6" t="n"/>
      <x:c r="O6" s="10" t="n"/>
      <x:c r="P6" s="10" t="n"/>
    </x:row>
    <x:row r="7">
      <x:c r="A7" s="7" t="n"/>
      <x:c r="B7" s="5" t="n"/>
      <x:c r="C7" s="5" t="inlineStr">
        <x:is>
          <x:t xml:space="preserve">Business Studies</x:t>
        </x:is>
      </x:c>
      <x:c r="D7" s="6" t="n">
        <x:v>10</x:v>
      </x:c>
      <x:c r="E7" s="6" t="n">
        <x:v>20</x:v>
      </x:c>
      <x:c r="F7" s="6" t="n">
        <x:v>57</x:v>
      </x:c>
      <x:c r="G7" s="6">
        <x:f>D7+E7+F7</x:f>
        <x:v>87</x:v>
      </x:c>
      <x:c r="H7" s="6">
        <x:f>1+SUMPRODUCT(($C$2:$C$271=C7)*($G$2:$G$271&gt;G7))</x:f>
        <x:v>5</x:v>
      </x:c>
      <x:c r="I7" s="7" t="str">
        <x:f>IF(G7&gt;=70,"A",IF(G7&gt;=60,"B",IF(G7&gt;=50,"C",IF(G7&gt;=40,"D","E"))))</x:f>
        <x:v>A</x:v>
      </x:c>
      <x:c r="J7" s="5" t="str">
        <x:f>IF(G7&gt;=70,"Excellent",IF(G7&gt;=60,"Very Good",IF(G7&gt;=50,"Good",IF(G7&gt;=40,"Fair","Needs Improvement"))))</x:f>
        <x:v>Excellent</x:v>
      </x:c>
      <x:c r="K7" s="6" t="n"/>
      <x:c r="L7" s="6" t="n"/>
      <x:c r="M7" s="6" t="n"/>
      <x:c r="N7" s="6" t="n"/>
      <x:c r="O7" s="10" t="n"/>
      <x:c r="P7" s="10" t="n"/>
    </x:row>
    <x:row r="8">
      <x:c r="A8" s="7" t="n"/>
      <x:c r="B8" s="5" t="n"/>
      <x:c r="C8" s="5" t="inlineStr">
        <x:is>
          <x:t xml:space="preserve">Creative and Cultural Art</x:t>
        </x:is>
      </x:c>
      <x:c r="D8" s="6" t="n">
        <x:v>7</x:v>
      </x:c>
      <x:c r="E8" s="6" t="n">
        <x:v>20</x:v>
      </x:c>
      <x:c r="F8" s="6" t="n">
        <x:v>69</x:v>
      </x:c>
      <x:c r="G8" s="6">
        <x:f>D8+E8+F8</x:f>
        <x:v>96</x:v>
      </x:c>
      <x:c r="H8" s="6">
        <x:f>1+SUMPRODUCT(($C$2:$C$271=C8)*($G$2:$G$271&gt;G8))</x:f>
        <x:v>1</x:v>
      </x:c>
      <x:c r="I8" s="7" t="str">
        <x:f>IF(G8&gt;=70,"A",IF(G8&gt;=60,"B",IF(G8&gt;=50,"C",IF(G8&gt;=40,"D","E"))))</x:f>
        <x:v>A</x:v>
      </x:c>
      <x:c r="J8" s="5" t="str">
        <x:f>IF(G8&gt;=70,"Excellent",IF(G8&gt;=60,"Very Good",IF(G8&gt;=50,"Good",IF(G8&gt;=40,"Fair","Needs Improvement"))))</x:f>
        <x:v>Excellent</x:v>
      </x:c>
      <x:c r="K8" s="6" t="n"/>
      <x:c r="L8" s="6" t="n"/>
      <x:c r="M8" s="6" t="n"/>
      <x:c r="N8" s="6" t="n"/>
      <x:c r="O8" s="10" t="n"/>
      <x:c r="P8" s="10" t="n"/>
    </x:row>
    <x:row r="9">
      <x:c r="A9" s="7" t="n"/>
      <x:c r="B9" s="5" t="n"/>
      <x:c r="C9" s="5" t="inlineStr">
        <x:is>
          <x:t xml:space="preserve">Christian Religious Studies</x:t>
        </x:is>
      </x:c>
      <x:c r="D9" s="6" t="n">
        <x:v>10</x:v>
      </x:c>
      <x:c r="E9" s="6" t="n">
        <x:v>12</x:v>
      </x:c>
      <x:c r="F9" s="6" t="n">
        <x:v>61</x:v>
      </x:c>
      <x:c r="G9" s="6">
        <x:f>D9+E9+F9</x:f>
        <x:v>83</x:v>
      </x:c>
      <x:c r="H9" s="6">
        <x:f>1+SUMPRODUCT(($C$2:$C$271=C9)*($G$2:$G$271&gt;G9))</x:f>
        <x:v>8</x:v>
      </x:c>
      <x:c r="I9" s="7" t="str">
        <x:f>IF(G9&gt;=70,"A",IF(G9&gt;=60,"B",IF(G9&gt;=50,"C",IF(G9&gt;=40,"D","E"))))</x:f>
        <x:v>A</x:v>
      </x:c>
      <x:c r="J9" s="5" t="str">
        <x:f>IF(G9&gt;=70,"Excellent",IF(G9&gt;=60,"Very Good",IF(G9&gt;=50,"Good",IF(G9&gt;=40,"Fair","Needs Improvement"))))</x:f>
        <x:v>Excellent</x:v>
      </x:c>
      <x:c r="K9" s="6" t="n"/>
      <x:c r="L9" s="6" t="n"/>
      <x:c r="M9" s="6" t="n"/>
      <x:c r="N9" s="6" t="n"/>
      <x:c r="O9" s="10" t="n"/>
      <x:c r="P9" s="10" t="n"/>
    </x:row>
    <x:row r="10">
      <x:c r="A10" s="7" t="n"/>
      <x:c r="B10" s="5" t="n"/>
      <x:c r="C10" s="5" t="inlineStr">
        <x:is>
          <x:t xml:space="preserve">History Studies</x:t>
        </x:is>
      </x:c>
      <x:c r="D10" s="6" t="n">
        <x:v>10</x:v>
      </x:c>
      <x:c r="E10" s="6" t="n">
        <x:v>19</x:v>
      </x:c>
      <x:c r="F10" s="6" t="n">
        <x:v>61</x:v>
      </x:c>
      <x:c r="G10" s="6">
        <x:f>D10+E10+F10</x:f>
        <x:v>90</x:v>
      </x:c>
      <x:c r="H10" s="6">
        <x:f>1+SUMPRODUCT(($C$2:$C$271=C10)*($G$2:$G$271&gt;G10))</x:f>
        <x:v>2</x:v>
      </x:c>
      <x:c r="I10" s="7" t="str">
        <x:f>IF(G10&gt;=70,"A",IF(G10&gt;=60,"B",IF(G10&gt;=50,"C",IF(G10&gt;=40,"D","E"))))</x:f>
        <x:v>A</x:v>
      </x:c>
      <x:c r="J10" s="5" t="str">
        <x:f>IF(G10&gt;=70,"Excellent",IF(G10&gt;=60,"Very Good",IF(G10&gt;=50,"Good",IF(G10&gt;=40,"Fair","Needs Improvement"))))</x:f>
        <x:v>Excellent</x:v>
      </x:c>
      <x:c r="K10" s="6" t="n"/>
      <x:c r="L10" s="6" t="n"/>
      <x:c r="M10" s="6" t="n"/>
      <x:c r="N10" s="6" t="n"/>
      <x:c r="O10" s="10" t="n"/>
      <x:c r="P10" s="10" t="n"/>
    </x:row>
    <x:row r="11">
      <x:c r="A11" s="3" t="n">
        <x:v>2</x:v>
      </x:c>
      <x:c r="B11" s="4" t="inlineStr">
        <x:is>
          <x:t xml:space="preserve">Grace Adeyemi</x:t>
        </x:is>
      </x:c>
      <x:c r="C11" s="5" t="inlineStr">
        <x:is>
          <x:t xml:space="preserve">Mathematics</x:t>
        </x:is>
      </x:c>
      <x:c r="D11" s="6" t="n">
        <x:v>3</x:v>
      </x:c>
      <x:c r="E11" s="6" t="n">
        <x:v>11</x:v>
      </x:c>
      <x:c r="F11" s="6" t="n">
        <x:v>33</x:v>
      </x:c>
      <x:c r="G11" s="6">
        <x:f>D11+E11+F11</x:f>
        <x:v>47</x:v>
      </x:c>
      <x:c r="H11" s="6">
        <x:f>1+SUMPRODUCT(($C$2:$C$271=C11)*($G$2:$G$271&gt;G11))</x:f>
        <x:v>26</x:v>
      </x:c>
      <x:c r="I11" s="7" t="str">
        <x:f>IF(G11&gt;=70,"A",IF(G11&gt;=60,"B",IF(G11&gt;=50,"C",IF(G11&gt;=40,"D","E"))))</x:f>
        <x:v>D</x:v>
      </x:c>
      <x:c r="J11" s="5" t="str">
        <x:f>IF(G11&gt;=70,"Excellent",IF(G11&gt;=60,"Very Good",IF(G11&gt;=50,"Good",IF(G11&gt;=40,"Fair","Needs Improvement"))))</x:f>
        <x:v>Fair</x:v>
      </x:c>
      <x:c r="K11" s="8">
        <x:f>SUM(D11:D19)</x:f>
        <x:v>47</x:v>
      </x:c>
      <x:c r="L11" s="8">
        <x:f>SUM(E11:E19)</x:f>
        <x:v>97</x:v>
      </x:c>
      <x:c r="M11" s="8">
        <x:f>SUM(F11:F19)</x:f>
        <x:v>360</x:v>
      </x:c>
      <x:c r="N11" s="8">
        <x:f>SUM(G11:G19)</x:f>
        <x:v>504</x:v>
      </x:c>
      <x:c r="O11" s="9">
        <x:f>ROUND(AVERAGE(G11:G19),2)</x:f>
        <x:v>56</x:v>
      </x:c>
      <x:c r="P11" s="9">
        <x:f>ROUND(AVERAGE($G$2:$G$271),2)</x:f>
        <x:v>67.88</x:v>
      </x:c>
    </x:row>
    <x:row r="12">
      <x:c r="A12" s="7" t="n"/>
      <x:c r="B12" s="5" t="n"/>
      <x:c r="C12" s="5" t="inlineStr">
        <x:is>
          <x:t xml:space="preserve">English Studies</x:t>
        </x:is>
      </x:c>
      <x:c r="D12" s="6" t="n">
        <x:v>5</x:v>
      </x:c>
      <x:c r="E12" s="6" t="n">
        <x:v>6</x:v>
      </x:c>
      <x:c r="F12" s="6" t="n">
        <x:v>29</x:v>
      </x:c>
      <x:c r="G12" s="6">
        <x:f>D12+E12+F12</x:f>
        <x:v>40</x:v>
      </x:c>
      <x:c r="H12" s="6">
        <x:f>1+SUMPRODUCT(($C$2:$C$271=C12)*($G$2:$G$271&gt;G12))</x:f>
        <x:v>29</x:v>
      </x:c>
      <x:c r="I12" s="7" t="str">
        <x:f>IF(G12&gt;=70,"A",IF(G12&gt;=60,"B",IF(G12&gt;=50,"C",IF(G12&gt;=40,"D","E"))))</x:f>
        <x:v>D</x:v>
      </x:c>
      <x:c r="J12" s="5" t="str">
        <x:f>IF(G12&gt;=70,"Excellent",IF(G12&gt;=60,"Very Good",IF(G12&gt;=50,"Good",IF(G12&gt;=40,"Fair","Needs Improvement"))))</x:f>
        <x:v>Fair</x:v>
      </x:c>
      <x:c r="K12" s="6" t="n"/>
      <x:c r="L12" s="6" t="n"/>
      <x:c r="M12" s="6" t="n"/>
      <x:c r="N12" s="6" t="n"/>
      <x:c r="O12" s="10" t="n"/>
      <x:c r="P12" s="10" t="n"/>
    </x:row>
    <x:row r="13">
      <x:c r="A13" s="7" t="n"/>
      <x:c r="B13" s="5" t="n"/>
      <x:c r="C13" s="5" t="inlineStr">
        <x:is>
          <x:t xml:space="preserve">Basic Science and Technology</x:t>
        </x:is>
      </x:c>
      <x:c r="D13" s="6" t="n">
        <x:v>7</x:v>
      </x:c>
      <x:c r="E13" s="6" t="n">
        <x:v>10</x:v>
      </x:c>
      <x:c r="F13" s="6" t="n">
        <x:v>43</x:v>
      </x:c>
      <x:c r="G13" s="6">
        <x:f>D13+E13+F13</x:f>
        <x:v>60</x:v>
      </x:c>
      <x:c r="H13" s="6">
        <x:f>1+SUMPRODUCT(($C$2:$C$271=C13)*($G$2:$G$271&gt;G13))</x:f>
        <x:v>22</x:v>
      </x:c>
      <x:c r="I13" s="7" t="str">
        <x:f>IF(G13&gt;=70,"A",IF(G13&gt;=60,"B",IF(G13&gt;=50,"C",IF(G13&gt;=40,"D","E"))))</x:f>
        <x:v>B</x:v>
      </x:c>
      <x:c r="J13" s="5" t="str">
        <x:f>IF(G13&gt;=70,"Excellent",IF(G13&gt;=60,"Very Good",IF(G13&gt;=50,"Good",IF(G13&gt;=40,"Fair","Needs Improvement"))))</x:f>
        <x:v>Very Good</x:v>
      </x:c>
      <x:c r="K13" s="6" t="n"/>
      <x:c r="L13" s="6" t="n"/>
      <x:c r="M13" s="6" t="n"/>
      <x:c r="N13" s="6" t="n"/>
      <x:c r="O13" s="10" t="n"/>
      <x:c r="P13" s="10" t="n"/>
    </x:row>
    <x:row r="14">
      <x:c r="A14" s="7" t="n"/>
      <x:c r="B14" s="5" t="n"/>
      <x:c r="C14" s="5" t="inlineStr">
        <x:is>
          <x:t xml:space="preserve">Pre-Vocational Studies</x:t>
        </x:is>
      </x:c>
      <x:c r="D14" s="6" t="n">
        <x:v>6</x:v>
      </x:c>
      <x:c r="E14" s="6" t="n">
        <x:v>6</x:v>
      </x:c>
      <x:c r="F14" s="6" t="n">
        <x:v>41</x:v>
      </x:c>
      <x:c r="G14" s="6">
        <x:f>D14+E14+F14</x:f>
        <x:v>53</x:v>
      </x:c>
      <x:c r="H14" s="6">
        <x:f>1+SUMPRODUCT(($C$2:$C$271=C14)*($G$2:$G$271&gt;G14))</x:f>
        <x:v>25</x:v>
      </x:c>
      <x:c r="I14" s="7" t="str">
        <x:f>IF(G14&gt;=70,"A",IF(G14&gt;=60,"B",IF(G14&gt;=50,"C",IF(G14&gt;=40,"D","E"))))</x:f>
        <x:v>C</x:v>
      </x:c>
      <x:c r="J14" s="5" t="str">
        <x:f>IF(G14&gt;=70,"Excellent",IF(G14&gt;=60,"Very Good",IF(G14&gt;=50,"Good",IF(G14&gt;=40,"Fair","Needs Improvement"))))</x:f>
        <x:v>Good</x:v>
      </x:c>
      <x:c r="K14" s="6" t="n"/>
      <x:c r="L14" s="6" t="n"/>
      <x:c r="M14" s="6" t="n"/>
      <x:c r="N14" s="6" t="n"/>
      <x:c r="O14" s="10" t="n"/>
      <x:c r="P14" s="10" t="n"/>
    </x:row>
    <x:row r="15">
      <x:c r="A15" s="7" t="n"/>
      <x:c r="B15" s="5" t="n"/>
      <x:c r="C15" s="5" t="inlineStr">
        <x:is>
          <x:t xml:space="preserve">National Value</x:t>
        </x:is>
      </x:c>
      <x:c r="D15" s="6" t="n">
        <x:v>7</x:v>
      </x:c>
      <x:c r="E15" s="6" t="n">
        <x:v>11</x:v>
      </x:c>
      <x:c r="F15" s="6" t="n">
        <x:v>37</x:v>
      </x:c>
      <x:c r="G15" s="6">
        <x:f>D15+E15+F15</x:f>
        <x:v>55</x:v>
      </x:c>
      <x:c r="H15" s="6">
        <x:f>1+SUMPRODUCT(($C$2:$C$271=C15)*($G$2:$G$271&gt;G15))</x:f>
        <x:v>24</x:v>
      </x:c>
      <x:c r="I15" s="7" t="str">
        <x:f>IF(G15&gt;=70,"A",IF(G15&gt;=60,"B",IF(G15&gt;=50,"C",IF(G15&gt;=40,"D","E"))))</x:f>
        <x:v>C</x:v>
      </x:c>
      <x:c r="J15" s="5" t="str">
        <x:f>IF(G15&gt;=70,"Excellent",IF(G15&gt;=60,"Very Good",IF(G15&gt;=50,"Good",IF(G15&gt;=40,"Fair","Needs Improvement"))))</x:f>
        <x:v>Good</x:v>
      </x:c>
      <x:c r="K15" s="6" t="n"/>
      <x:c r="L15" s="6" t="n"/>
      <x:c r="M15" s="6" t="n"/>
      <x:c r="N15" s="6" t="n"/>
      <x:c r="O15" s="10" t="n"/>
      <x:c r="P15" s="10" t="n"/>
    </x:row>
    <x:row r="16">
      <x:c r="A16" s="7" t="n"/>
      <x:c r="B16" s="5" t="n"/>
      <x:c r="C16" s="5" t="inlineStr">
        <x:is>
          <x:t xml:space="preserve">Business Studies</x:t>
        </x:is>
      </x:c>
      <x:c r="D16" s="6" t="n">
        <x:v>8</x:v>
      </x:c>
      <x:c r="E16" s="6" t="n">
        <x:v>12</x:v>
      </x:c>
      <x:c r="F16" s="6" t="n">
        <x:v>51</x:v>
      </x:c>
      <x:c r="G16" s="6">
        <x:f>D16+E16+F16</x:f>
        <x:v>71</x:v>
      </x:c>
      <x:c r="H16" s="6">
        <x:f>1+SUMPRODUCT(($C$2:$C$271=C16)*($G$2:$G$271&gt;G16))</x:f>
        <x:v>15</x:v>
      </x:c>
      <x:c r="I16" s="7" t="str">
        <x:f>IF(G16&gt;=70,"A",IF(G16&gt;=60,"B",IF(G16&gt;=50,"C",IF(G16&gt;=40,"D","E"))))</x:f>
        <x:v>A</x:v>
      </x:c>
      <x:c r="J16" s="5" t="str">
        <x:f>IF(G16&gt;=70,"Excellent",IF(G16&gt;=60,"Very Good",IF(G16&gt;=50,"Good",IF(G16&gt;=40,"Fair","Needs Improvement"))))</x:f>
        <x:v>Excellent</x:v>
      </x:c>
      <x:c r="K16" s="6" t="n"/>
      <x:c r="L16" s="6" t="n"/>
      <x:c r="M16" s="6" t="n"/>
      <x:c r="N16" s="6" t="n"/>
      <x:c r="O16" s="10" t="n"/>
      <x:c r="P16" s="10" t="n"/>
    </x:row>
    <x:row r="17">
      <x:c r="A17" s="7" t="n"/>
      <x:c r="B17" s="5" t="n"/>
      <x:c r="C17" s="5" t="inlineStr">
        <x:is>
          <x:t xml:space="preserve">Creative and Cultural Art</x:t>
        </x:is>
      </x:c>
      <x:c r="D17" s="6" t="n">
        <x:v>4</x:v>
      </x:c>
      <x:c r="E17" s="6" t="n">
        <x:v>20</x:v>
      </x:c>
      <x:c r="F17" s="6" t="n">
        <x:v>45</x:v>
      </x:c>
      <x:c r="G17" s="6">
        <x:f>D17+E17+F17</x:f>
        <x:v>69</x:v>
      </x:c>
      <x:c r="H17" s="6">
        <x:f>1+SUMPRODUCT(($C$2:$C$271=C17)*($G$2:$G$271&gt;G17))</x:f>
        <x:v>18</x:v>
      </x:c>
      <x:c r="I17" s="7" t="str">
        <x:f>IF(G17&gt;=70,"A",IF(G17&gt;=60,"B",IF(G17&gt;=50,"C",IF(G17&gt;=40,"D","E"))))</x:f>
        <x:v>B</x:v>
      </x:c>
      <x:c r="J17" s="5" t="str">
        <x:f>IF(G17&gt;=70,"Excellent",IF(G17&gt;=60,"Very Good",IF(G17&gt;=50,"Good",IF(G17&gt;=40,"Fair","Needs Improvement"))))</x:f>
        <x:v>Very Good</x:v>
      </x:c>
      <x:c r="K17" s="6" t="n"/>
      <x:c r="L17" s="6" t="n"/>
      <x:c r="M17" s="6" t="n"/>
      <x:c r="N17" s="6" t="n"/>
      <x:c r="O17" s="10" t="n"/>
      <x:c r="P17" s="10" t="n"/>
    </x:row>
    <x:row r="18">
      <x:c r="A18" s="7" t="n"/>
      <x:c r="B18" s="5" t="n"/>
      <x:c r="C18" s="5" t="inlineStr">
        <x:is>
          <x:t xml:space="preserve">Christian Religious Studies</x:t>
        </x:is>
      </x:c>
      <x:c r="D18" s="6" t="n">
        <x:v>3</x:v>
      </x:c>
      <x:c r="E18" s="6" t="n">
        <x:v>9</x:v>
      </x:c>
      <x:c r="F18" s="6" t="n">
        <x:v>41</x:v>
      </x:c>
      <x:c r="G18" s="6">
        <x:f>D18+E18+F18</x:f>
        <x:v>53</x:v>
      </x:c>
      <x:c r="H18" s="6">
        <x:f>1+SUMPRODUCT(($C$2:$C$271=C18)*($G$2:$G$271&gt;G18))</x:f>
        <x:v>24</x:v>
      </x:c>
      <x:c r="I18" s="7" t="str">
        <x:f>IF(G18&gt;=70,"A",IF(G18&gt;=60,"B",IF(G18&gt;=50,"C",IF(G18&gt;=40,"D","E"))))</x:f>
        <x:v>C</x:v>
      </x:c>
      <x:c r="J18" s="5" t="str">
        <x:f>IF(G18&gt;=70,"Excellent",IF(G18&gt;=60,"Very Good",IF(G18&gt;=50,"Good",IF(G18&gt;=40,"Fair","Needs Improvement"))))</x:f>
        <x:v>Good</x:v>
      </x:c>
      <x:c r="K18" s="6" t="n"/>
      <x:c r="L18" s="6" t="n"/>
      <x:c r="M18" s="6" t="n"/>
      <x:c r="N18" s="6" t="n"/>
      <x:c r="O18" s="10" t="n"/>
      <x:c r="P18" s="10" t="n"/>
    </x:row>
    <x:row r="19">
      <x:c r="A19" s="7" t="n"/>
      <x:c r="B19" s="5" t="n"/>
      <x:c r="C19" s="5" t="inlineStr">
        <x:is>
          <x:t xml:space="preserve">History Studies</x:t>
        </x:is>
      </x:c>
      <x:c r="D19" s="6" t="n">
        <x:v>4</x:v>
      </x:c>
      <x:c r="E19" s="6" t="n">
        <x:v>12</x:v>
      </x:c>
      <x:c r="F19" s="6" t="n">
        <x:v>40</x:v>
      </x:c>
      <x:c r="G19" s="6">
        <x:f>D19+E19+F19</x:f>
        <x:v>56</x:v>
      </x:c>
      <x:c r="H19" s="6">
        <x:f>1+SUMPRODUCT(($C$2:$C$271=C19)*($G$2:$G$271&gt;G19))</x:f>
        <x:v>25</x:v>
      </x:c>
      <x:c r="I19" s="7" t="str">
        <x:f>IF(G19&gt;=70,"A",IF(G19&gt;=60,"B",IF(G19&gt;=50,"C",IF(G19&gt;=40,"D","E"))))</x:f>
        <x:v>C</x:v>
      </x:c>
      <x:c r="J19" s="5" t="str">
        <x:f>IF(G19&gt;=70,"Excellent",IF(G19&gt;=60,"Very Good",IF(G19&gt;=50,"Good",IF(G19&gt;=40,"Fair","Needs Improvement"))))</x:f>
        <x:v>Good</x:v>
      </x:c>
      <x:c r="K19" s="6" t="n"/>
      <x:c r="L19" s="6" t="n"/>
      <x:c r="M19" s="6" t="n"/>
      <x:c r="N19" s="6" t="n"/>
      <x:c r="O19" s="10" t="n"/>
      <x:c r="P19" s="10" t="n"/>
    </x:row>
    <x:row r="20">
      <x:c r="A20" s="3" t="n">
        <x:v>3</x:v>
      </x:c>
      <x:c r="B20" s="4" t="inlineStr">
        <x:is>
          <x:t xml:space="preserve">Samuel Akpan</x:t>
        </x:is>
      </x:c>
      <x:c r="C20" s="5" t="inlineStr">
        <x:is>
          <x:t xml:space="preserve">Mathematics</x:t>
        </x:is>
      </x:c>
      <x:c r="D20" s="6" t="n">
        <x:v>6</x:v>
      </x:c>
      <x:c r="E20" s="6" t="n">
        <x:v>15</x:v>
      </x:c>
      <x:c r="F20" s="6" t="n">
        <x:v>50</x:v>
      </x:c>
      <x:c r="G20" s="6">
        <x:f>D20+E20+F20</x:f>
        <x:v>71</x:v>
      </x:c>
      <x:c r="H20" s="6">
        <x:f>1+SUMPRODUCT(($C$2:$C$271=C20)*($G$2:$G$271&gt;G20))</x:f>
        <x:v>9</x:v>
      </x:c>
      <x:c r="I20" s="7" t="str">
        <x:f>IF(G20&gt;=70,"A",IF(G20&gt;=60,"B",IF(G20&gt;=50,"C",IF(G20&gt;=40,"D","E"))))</x:f>
        <x:v>A</x:v>
      </x:c>
      <x:c r="J20" s="5" t="str">
        <x:f>IF(G20&gt;=70,"Excellent",IF(G20&gt;=60,"Very Good",IF(G20&gt;=50,"Good",IF(G20&gt;=40,"Fair","Needs Improvement"))))</x:f>
        <x:v>Excellent</x:v>
      </x:c>
      <x:c r="K20" s="8">
        <x:f>SUM(D20:D28)</x:f>
        <x:v>71</x:v>
      </x:c>
      <x:c r="L20" s="8">
        <x:f>SUM(E20:E28)</x:f>
        <x:v>149</x:v>
      </x:c>
      <x:c r="M20" s="8">
        <x:f>SUM(F20:F28)</x:f>
        <x:v>479</x:v>
      </x:c>
      <x:c r="N20" s="8">
        <x:f>SUM(G20:G28)</x:f>
        <x:v>699</x:v>
      </x:c>
      <x:c r="O20" s="9">
        <x:f>ROUND(AVERAGE(G20:G28),2)</x:f>
        <x:v>77.67</x:v>
      </x:c>
      <x:c r="P20" s="9">
        <x:f>ROUND(AVERAGE($G$2:$G$271),2)</x:f>
        <x:v>67.88</x:v>
      </x:c>
    </x:row>
    <x:row r="21">
      <x:c r="A21" s="7" t="n"/>
      <x:c r="B21" s="5" t="n"/>
      <x:c r="C21" s="5" t="inlineStr">
        <x:is>
          <x:t xml:space="preserve">English Studies</x:t>
        </x:is>
      </x:c>
      <x:c r="D21" s="6" t="n">
        <x:v>9</x:v>
      </x:c>
      <x:c r="E21" s="6" t="n">
        <x:v>19</x:v>
      </x:c>
      <x:c r="F21" s="6" t="n">
        <x:v>50</x:v>
      </x:c>
      <x:c r="G21" s="6">
        <x:f>D21+E21+F21</x:f>
        <x:v>78</x:v>
      </x:c>
      <x:c r="H21" s="6">
        <x:f>1+SUMPRODUCT(($C$2:$C$271=C21)*($G$2:$G$271&gt;G21))</x:f>
        <x:v>8</x:v>
      </x:c>
      <x:c r="I21" s="7" t="str">
        <x:f>IF(G21&gt;=70,"A",IF(G21&gt;=60,"B",IF(G21&gt;=50,"C",IF(G21&gt;=40,"D","E"))))</x:f>
        <x:v>A</x:v>
      </x:c>
      <x:c r="J21" s="5" t="str">
        <x:f>IF(G21&gt;=70,"Excellent",IF(G21&gt;=60,"Very Good",IF(G21&gt;=50,"Good",IF(G21&gt;=40,"Fair","Needs Improvement"))))</x:f>
        <x:v>Excellent</x:v>
      </x:c>
      <x:c r="K21" s="6" t="n"/>
      <x:c r="L21" s="6" t="n"/>
      <x:c r="M21" s="6" t="n"/>
      <x:c r="N21" s="6" t="n"/>
      <x:c r="O21" s="10" t="n"/>
      <x:c r="P21" s="10" t="n"/>
    </x:row>
    <x:row r="22">
      <x:c r="A22" s="7" t="n"/>
      <x:c r="B22" s="5" t="n"/>
      <x:c r="C22" s="5" t="inlineStr">
        <x:is>
          <x:t xml:space="preserve">Basic Science and Technology</x:t>
        </x:is>
      </x:c>
      <x:c r="D22" s="6" t="n">
        <x:v>10</x:v>
      </x:c>
      <x:c r="E22" s="6" t="n">
        <x:v>20</x:v>
      </x:c>
      <x:c r="F22" s="6" t="n">
        <x:v>53</x:v>
      </x:c>
      <x:c r="G22" s="6">
        <x:f>D22+E22+F22</x:f>
        <x:v>83</x:v>
      </x:c>
      <x:c r="H22" s="6">
        <x:f>1+SUMPRODUCT(($C$2:$C$271=C22)*($G$2:$G$271&gt;G22))</x:f>
        <x:v>5</x:v>
      </x:c>
      <x:c r="I22" s="7" t="str">
        <x:f>IF(G22&gt;=70,"A",IF(G22&gt;=60,"B",IF(G22&gt;=50,"C",IF(G22&gt;=40,"D","E"))))</x:f>
        <x:v>A</x:v>
      </x:c>
      <x:c r="J22" s="5" t="str">
        <x:f>IF(G22&gt;=70,"Excellent",IF(G22&gt;=60,"Very Good",IF(G22&gt;=50,"Good",IF(G22&gt;=40,"Fair","Needs Improvement"))))</x:f>
        <x:v>Excellent</x:v>
      </x:c>
      <x:c r="K22" s="6" t="n"/>
      <x:c r="L22" s="6" t="n"/>
      <x:c r="M22" s="6" t="n"/>
      <x:c r="N22" s="6" t="n"/>
      <x:c r="O22" s="10" t="n"/>
      <x:c r="P22" s="10" t="n"/>
    </x:row>
    <x:row r="23">
      <x:c r="A23" s="7" t="n"/>
      <x:c r="B23" s="5" t="n"/>
      <x:c r="C23" s="5" t="inlineStr">
        <x:is>
          <x:t xml:space="preserve">Pre-Vocational Studies</x:t>
        </x:is>
      </x:c>
      <x:c r="D23" s="6" t="n">
        <x:v>5</x:v>
      </x:c>
      <x:c r="E23" s="6" t="n">
        <x:v>17</x:v>
      </x:c>
      <x:c r="F23" s="6" t="n">
        <x:v>50</x:v>
      </x:c>
      <x:c r="G23" s="6">
        <x:f>D23+E23+F23</x:f>
        <x:v>72</x:v>
      </x:c>
      <x:c r="H23" s="6">
        <x:f>1+SUMPRODUCT(($C$2:$C$271=C23)*($G$2:$G$271&gt;G23))</x:f>
        <x:v>10</x:v>
      </x:c>
      <x:c r="I23" s="7" t="str">
        <x:f>IF(G23&gt;=70,"A",IF(G23&gt;=60,"B",IF(G23&gt;=50,"C",IF(G23&gt;=40,"D","E"))))</x:f>
        <x:v>A</x:v>
      </x:c>
      <x:c r="J23" s="5" t="str">
        <x:f>IF(G23&gt;=70,"Excellent",IF(G23&gt;=60,"Very Good",IF(G23&gt;=50,"Good",IF(G23&gt;=40,"Fair","Needs Improvement"))))</x:f>
        <x:v>Excellent</x:v>
      </x:c>
      <x:c r="K23" s="6" t="n"/>
      <x:c r="L23" s="6" t="n"/>
      <x:c r="M23" s="6" t="n"/>
      <x:c r="N23" s="6" t="n"/>
      <x:c r="O23" s="10" t="n"/>
      <x:c r="P23" s="10" t="n"/>
    </x:row>
    <x:row r="24">
      <x:c r="A24" s="7" t="n"/>
      <x:c r="B24" s="5" t="n"/>
      <x:c r="C24" s="5" t="inlineStr">
        <x:is>
          <x:t xml:space="preserve">National Value</x:t>
        </x:is>
      </x:c>
      <x:c r="D24" s="6" t="n">
        <x:v>10</x:v>
      </x:c>
      <x:c r="E24" s="6" t="n">
        <x:v>19</x:v>
      </x:c>
      <x:c r="F24" s="6" t="n">
        <x:v>57</x:v>
      </x:c>
      <x:c r="G24" s="6">
        <x:f>D24+E24+F24</x:f>
        <x:v>86</x:v>
      </x:c>
      <x:c r="H24" s="6">
        <x:f>1+SUMPRODUCT(($C$2:$C$271=C24)*($G$2:$G$271&gt;G24))</x:f>
        <x:v>4</x:v>
      </x:c>
      <x:c r="I24" s="7" t="str">
        <x:f>IF(G24&gt;=70,"A",IF(G24&gt;=60,"B",IF(G24&gt;=50,"C",IF(G24&gt;=40,"D","E"))))</x:f>
        <x:v>A</x:v>
      </x:c>
      <x:c r="J24" s="5" t="str">
        <x:f>IF(G24&gt;=70,"Excellent",IF(G24&gt;=60,"Very Good",IF(G24&gt;=50,"Good",IF(G24&gt;=40,"Fair","Needs Improvement"))))</x:f>
        <x:v>Excellent</x:v>
      </x:c>
      <x:c r="K24" s="6" t="n"/>
      <x:c r="L24" s="6" t="n"/>
      <x:c r="M24" s="6" t="n"/>
      <x:c r="N24" s="6" t="n"/>
      <x:c r="O24" s="10" t="n"/>
      <x:c r="P24" s="10" t="n"/>
    </x:row>
    <x:row r="25">
      <x:c r="A25" s="7" t="n"/>
      <x:c r="B25" s="5" t="n"/>
      <x:c r="C25" s="5" t="inlineStr">
        <x:is>
          <x:t xml:space="preserve">Business Studies</x:t>
        </x:is>
      </x:c>
      <x:c r="D25" s="6" t="n">
        <x:v>10</x:v>
      </x:c>
      <x:c r="E25" s="6" t="n">
        <x:v>10</x:v>
      </x:c>
      <x:c r="F25" s="6" t="n">
        <x:v>54</x:v>
      </x:c>
      <x:c r="G25" s="6">
        <x:f>D25+E25+F25</x:f>
        <x:v>74</x:v>
      </x:c>
      <x:c r="H25" s="6">
        <x:f>1+SUMPRODUCT(($C$2:$C$271=C25)*($G$2:$G$271&gt;G25))</x:f>
        <x:v>12</x:v>
      </x:c>
      <x:c r="I25" s="7" t="str">
        <x:f>IF(G25&gt;=70,"A",IF(G25&gt;=60,"B",IF(G25&gt;=50,"C",IF(G25&gt;=40,"D","E"))))</x:f>
        <x:v>A</x:v>
      </x:c>
      <x:c r="J25" s="5" t="str">
        <x:f>IF(G25&gt;=70,"Excellent",IF(G25&gt;=60,"Very Good",IF(G25&gt;=50,"Good",IF(G25&gt;=40,"Fair","Needs Improvement"))))</x:f>
        <x:v>Excellent</x:v>
      </x:c>
      <x:c r="K25" s="6" t="n"/>
      <x:c r="L25" s="6" t="n"/>
      <x:c r="M25" s="6" t="n"/>
      <x:c r="N25" s="6" t="n"/>
      <x:c r="O25" s="10" t="n"/>
      <x:c r="P25" s="10" t="n"/>
    </x:row>
    <x:row r="26">
      <x:c r="A26" s="7" t="n"/>
      <x:c r="B26" s="5" t="n"/>
      <x:c r="C26" s="5" t="inlineStr">
        <x:is>
          <x:t xml:space="preserve">Creative and Cultural Art</x:t>
        </x:is>
      </x:c>
      <x:c r="D26" s="6" t="n">
        <x:v>10</x:v>
      </x:c>
      <x:c r="E26" s="6" t="n">
        <x:v>15</x:v>
      </x:c>
      <x:c r="F26" s="6" t="n">
        <x:v>47</x:v>
      </x:c>
      <x:c r="G26" s="6">
        <x:f>D26+E26+F26</x:f>
        <x:v>72</x:v>
      </x:c>
      <x:c r="H26" s="6">
        <x:f>1+SUMPRODUCT(($C$2:$C$271=C26)*($G$2:$G$271&gt;G26))</x:f>
        <x:v>13</x:v>
      </x:c>
      <x:c r="I26" s="7" t="str">
        <x:f>IF(G26&gt;=70,"A",IF(G26&gt;=60,"B",IF(G26&gt;=50,"C",IF(G26&gt;=40,"D","E"))))</x:f>
        <x:v>A</x:v>
      </x:c>
      <x:c r="J26" s="5" t="str">
        <x:f>IF(G26&gt;=70,"Excellent",IF(G26&gt;=60,"Very Good",IF(G26&gt;=50,"Good",IF(G26&gt;=40,"Fair","Needs Improvement"))))</x:f>
        <x:v>Excellent</x:v>
      </x:c>
      <x:c r="K26" s="6" t="n"/>
      <x:c r="L26" s="6" t="n"/>
      <x:c r="M26" s="6" t="n"/>
      <x:c r="N26" s="6" t="n"/>
      <x:c r="O26" s="10" t="n"/>
      <x:c r="P26" s="10" t="n"/>
    </x:row>
    <x:row r="27">
      <x:c r="A27" s="7" t="n"/>
      <x:c r="B27" s="5" t="n"/>
      <x:c r="C27" s="5" t="inlineStr">
        <x:is>
          <x:t xml:space="preserve">Christian Religious Studies</x:t>
        </x:is>
      </x:c>
      <x:c r="D27" s="6" t="n">
        <x:v>5</x:v>
      </x:c>
      <x:c r="E27" s="6" t="n">
        <x:v>14</x:v>
      </x:c>
      <x:c r="F27" s="6" t="n">
        <x:v>57</x:v>
      </x:c>
      <x:c r="G27" s="6">
        <x:f>D27+E27+F27</x:f>
        <x:v>76</x:v>
      </x:c>
      <x:c r="H27" s="6">
        <x:f>1+SUMPRODUCT(($C$2:$C$271=C27)*($G$2:$G$271&gt;G27))</x:f>
        <x:v>15</x:v>
      </x:c>
      <x:c r="I27" s="7" t="str">
        <x:f>IF(G27&gt;=70,"A",IF(G27&gt;=60,"B",IF(G27&gt;=50,"C",IF(G27&gt;=40,"D","E"))))</x:f>
        <x:v>A</x:v>
      </x:c>
      <x:c r="J27" s="5" t="str">
        <x:f>IF(G27&gt;=70,"Excellent",IF(G27&gt;=60,"Very Good",IF(G27&gt;=50,"Good",IF(G27&gt;=40,"Fair","Needs Improvement"))))</x:f>
        <x:v>Excellent</x:v>
      </x:c>
      <x:c r="K27" s="6" t="n"/>
      <x:c r="L27" s="6" t="n"/>
      <x:c r="M27" s="6" t="n"/>
      <x:c r="N27" s="6" t="n"/>
      <x:c r="O27" s="10" t="n"/>
      <x:c r="P27" s="10" t="n"/>
    </x:row>
    <x:row r="28">
      <x:c r="A28" s="7" t="n"/>
      <x:c r="B28" s="5" t="n"/>
      <x:c r="C28" s="5" t="inlineStr">
        <x:is>
          <x:t xml:space="preserve">History Studies</x:t>
        </x:is>
      </x:c>
      <x:c r="D28" s="6" t="n">
        <x:v>6</x:v>
      </x:c>
      <x:c r="E28" s="6" t="n">
        <x:v>20</x:v>
      </x:c>
      <x:c r="F28" s="6" t="n">
        <x:v>61</x:v>
      </x:c>
      <x:c r="G28" s="6">
        <x:f>D28+E28+F28</x:f>
        <x:v>87</x:v>
      </x:c>
      <x:c r="H28" s="6">
        <x:f>1+SUMPRODUCT(($C$2:$C$271=C28)*($G$2:$G$271&gt;G28))</x:f>
        <x:v>3</x:v>
      </x:c>
      <x:c r="I28" s="7" t="str">
        <x:f>IF(G28&gt;=70,"A",IF(G28&gt;=60,"B",IF(G28&gt;=50,"C",IF(G28&gt;=40,"D","E"))))</x:f>
        <x:v>A</x:v>
      </x:c>
      <x:c r="J28" s="5" t="str">
        <x:f>IF(G28&gt;=70,"Excellent",IF(G28&gt;=60,"Very Good",IF(G28&gt;=50,"Good",IF(G28&gt;=40,"Fair","Needs Improvement"))))</x:f>
        <x:v>Excellent</x:v>
      </x:c>
      <x:c r="K28" s="6" t="n"/>
      <x:c r="L28" s="6" t="n"/>
      <x:c r="M28" s="6" t="n"/>
      <x:c r="N28" s="6" t="n"/>
      <x:c r="O28" s="10" t="n"/>
      <x:c r="P28" s="10" t="n"/>
    </x:row>
    <x:row r="29">
      <x:c r="A29" s="3" t="n">
        <x:v>4</x:v>
      </x:c>
      <x:c r="B29" s="4" t="inlineStr">
        <x:is>
          <x:t xml:space="preserve">Esther Eze</x:t>
        </x:is>
      </x:c>
      <x:c r="C29" s="5" t="inlineStr">
        <x:is>
          <x:t xml:space="preserve">Mathematics</x:t>
        </x:is>
      </x:c>
      <x:c r="D29" s="6" t="n">
        <x:v>5</x:v>
      </x:c>
      <x:c r="E29" s="6" t="n">
        <x:v>12</x:v>
      </x:c>
      <x:c r="F29" s="6" t="n">
        <x:v>53</x:v>
      </x:c>
      <x:c r="G29" s="6">
        <x:f>D29+E29+F29</x:f>
        <x:v>70</x:v>
      </x:c>
      <x:c r="H29" s="6">
        <x:f>1+SUMPRODUCT(($C$2:$C$271=C29)*($G$2:$G$271&gt;G29))</x:f>
        <x:v>10</x:v>
      </x:c>
      <x:c r="I29" s="7" t="str">
        <x:f>IF(G29&gt;=70,"A",IF(G29&gt;=60,"B",IF(G29&gt;=50,"C",IF(G29&gt;=40,"D","E"))))</x:f>
        <x:v>A</x:v>
      </x:c>
      <x:c r="J29" s="5" t="str">
        <x:f>IF(G29&gt;=70,"Excellent",IF(G29&gt;=60,"Very Good",IF(G29&gt;=50,"Good",IF(G29&gt;=40,"Fair","Needs Improvement"))))</x:f>
        <x:v>Excellent</x:v>
      </x:c>
      <x:c r="K29" s="8">
        <x:f>SUM(D29:D37)</x:f>
        <x:v>70</x:v>
      </x:c>
      <x:c r="L29" s="8">
        <x:f>SUM(E29:E37)</x:f>
        <x:v>127</x:v>
      </x:c>
      <x:c r="M29" s="8">
        <x:f>SUM(F29:F37)</x:f>
        <x:v>450</x:v>
      </x:c>
      <x:c r="N29" s="8">
        <x:f>SUM(G29:G37)</x:f>
        <x:v>647</x:v>
      </x:c>
      <x:c r="O29" s="9">
        <x:f>ROUND(AVERAGE(G29:G37),2)</x:f>
        <x:v>71.89</x:v>
      </x:c>
      <x:c r="P29" s="9">
        <x:f>ROUND(AVERAGE($G$2:$G$271),2)</x:f>
        <x:v>67.88</x:v>
      </x:c>
    </x:row>
    <x:row r="30">
      <x:c r="A30" s="7" t="n"/>
      <x:c r="B30" s="5" t="n"/>
      <x:c r="C30" s="5" t="inlineStr">
        <x:is>
          <x:t xml:space="preserve">English Studies</x:t>
        </x:is>
      </x:c>
      <x:c r="D30" s="6" t="n">
        <x:v>8</x:v>
      </x:c>
      <x:c r="E30" s="6" t="n">
        <x:v>15</x:v>
      </x:c>
      <x:c r="F30" s="6" t="n">
        <x:v>42</x:v>
      </x:c>
      <x:c r="G30" s="6">
        <x:f>D30+E30+F30</x:f>
        <x:v>65</x:v>
      </x:c>
      <x:c r="H30" s="6">
        <x:f>1+SUMPRODUCT(($C$2:$C$271=C30)*($G$2:$G$271&gt;G30))</x:f>
        <x:v>17</x:v>
      </x:c>
      <x:c r="I30" s="7" t="str">
        <x:f>IF(G30&gt;=70,"A",IF(G30&gt;=60,"B",IF(G30&gt;=50,"C",IF(G30&gt;=40,"D","E"))))</x:f>
        <x:v>B</x:v>
      </x:c>
      <x:c r="J30" s="5" t="str">
        <x:f>IF(G30&gt;=70,"Excellent",IF(G30&gt;=60,"Very Good",IF(G30&gt;=50,"Good",IF(G30&gt;=40,"Fair","Needs Improvement"))))</x:f>
        <x:v>Very Good</x:v>
      </x:c>
      <x:c r="K30" s="6" t="n"/>
      <x:c r="L30" s="6" t="n"/>
      <x:c r="M30" s="6" t="n"/>
      <x:c r="N30" s="6" t="n"/>
      <x:c r="O30" s="10" t="n"/>
      <x:c r="P30" s="10" t="n"/>
    </x:row>
    <x:row r="31">
      <x:c r="A31" s="7" t="n"/>
      <x:c r="B31" s="5" t="n"/>
      <x:c r="C31" s="5" t="inlineStr">
        <x:is>
          <x:t xml:space="preserve">Basic Science and Technology</x:t>
        </x:is>
      </x:c>
      <x:c r="D31" s="6" t="n">
        <x:v>9</x:v>
      </x:c>
      <x:c r="E31" s="6" t="n">
        <x:v>19</x:v>
      </x:c>
      <x:c r="F31" s="6" t="n">
        <x:v>51</x:v>
      </x:c>
      <x:c r="G31" s="6">
        <x:f>D31+E31+F31</x:f>
        <x:v>79</x:v>
      </x:c>
      <x:c r="H31" s="6">
        <x:f>1+SUMPRODUCT(($C$2:$C$271=C31)*($G$2:$G$271&gt;G31))</x:f>
        <x:v>8</x:v>
      </x:c>
      <x:c r="I31" s="7" t="str">
        <x:f>IF(G31&gt;=70,"A",IF(G31&gt;=60,"B",IF(G31&gt;=50,"C",IF(G31&gt;=40,"D","E"))))</x:f>
        <x:v>A</x:v>
      </x:c>
      <x:c r="J31" s="5" t="str">
        <x:f>IF(G31&gt;=70,"Excellent",IF(G31&gt;=60,"Very Good",IF(G31&gt;=50,"Good",IF(G31&gt;=40,"Fair","Needs Improvement"))))</x:f>
        <x:v>Excellent</x:v>
      </x:c>
      <x:c r="K31" s="6" t="n"/>
      <x:c r="L31" s="6" t="n"/>
      <x:c r="M31" s="6" t="n"/>
      <x:c r="N31" s="6" t="n"/>
      <x:c r="O31" s="10" t="n"/>
      <x:c r="P31" s="10" t="n"/>
    </x:row>
    <x:row r="32">
      <x:c r="A32" s="7" t="n"/>
      <x:c r="B32" s="5" t="n"/>
      <x:c r="C32" s="5" t="inlineStr">
        <x:is>
          <x:t xml:space="preserve">Pre-Vocational Studies</x:t>
        </x:is>
      </x:c>
      <x:c r="D32" s="6" t="n">
        <x:v>6</x:v>
      </x:c>
      <x:c r="E32" s="6" t="n">
        <x:v>12</x:v>
      </x:c>
      <x:c r="F32" s="6" t="n">
        <x:v>54</x:v>
      </x:c>
      <x:c r="G32" s="6">
        <x:f>D32+E32+F32</x:f>
        <x:v>72</x:v>
      </x:c>
      <x:c r="H32" s="6">
        <x:f>1+SUMPRODUCT(($C$2:$C$271=C32)*($G$2:$G$271&gt;G32))</x:f>
        <x:v>10</x:v>
      </x:c>
      <x:c r="I32" s="7" t="str">
        <x:f>IF(G32&gt;=70,"A",IF(G32&gt;=60,"B",IF(G32&gt;=50,"C",IF(G32&gt;=40,"D","E"))))</x:f>
        <x:v>A</x:v>
      </x:c>
      <x:c r="J32" s="5" t="str">
        <x:f>IF(G32&gt;=70,"Excellent",IF(G32&gt;=60,"Very Good",IF(G32&gt;=50,"Good",IF(G32&gt;=40,"Fair","Needs Improvement"))))</x:f>
        <x:v>Excellent</x:v>
      </x:c>
      <x:c r="K32" s="6" t="n"/>
      <x:c r="L32" s="6" t="n"/>
      <x:c r="M32" s="6" t="n"/>
      <x:c r="N32" s="6" t="n"/>
      <x:c r="O32" s="10" t="n"/>
      <x:c r="P32" s="10" t="n"/>
    </x:row>
    <x:row r="33">
      <x:c r="A33" s="7" t="n"/>
      <x:c r="B33" s="5" t="n"/>
      <x:c r="C33" s="5" t="inlineStr">
        <x:is>
          <x:t xml:space="preserve">National Value</x:t>
        </x:is>
      </x:c>
      <x:c r="D33" s="6" t="n">
        <x:v>6</x:v>
      </x:c>
      <x:c r="E33" s="6" t="n">
        <x:v>9</x:v>
      </x:c>
      <x:c r="F33" s="6" t="n">
        <x:v>53</x:v>
      </x:c>
      <x:c r="G33" s="6">
        <x:f>D33+E33+F33</x:f>
        <x:v>68</x:v>
      </x:c>
      <x:c r="H33" s="6">
        <x:f>1+SUMPRODUCT(($C$2:$C$271=C33)*($G$2:$G$271&gt;G33))</x:f>
        <x:v>20</x:v>
      </x:c>
      <x:c r="I33" s="7" t="str">
        <x:f>IF(G33&gt;=70,"A",IF(G33&gt;=60,"B",IF(G33&gt;=50,"C",IF(G33&gt;=40,"D","E"))))</x:f>
        <x:v>B</x:v>
      </x:c>
      <x:c r="J33" s="5" t="str">
        <x:f>IF(G33&gt;=70,"Excellent",IF(G33&gt;=60,"Very Good",IF(G33&gt;=50,"Good",IF(G33&gt;=40,"Fair","Needs Improvement"))))</x:f>
        <x:v>Very Good</x:v>
      </x:c>
      <x:c r="K33" s="6" t="n"/>
      <x:c r="L33" s="6" t="n"/>
      <x:c r="M33" s="6" t="n"/>
      <x:c r="N33" s="6" t="n"/>
      <x:c r="O33" s="10" t="n"/>
      <x:c r="P33" s="10" t="n"/>
    </x:row>
    <x:row r="34">
      <x:c r="A34" s="7" t="n"/>
      <x:c r="B34" s="5" t="n"/>
      <x:c r="C34" s="5" t="inlineStr">
        <x:is>
          <x:t xml:space="preserve">Business Studies</x:t>
        </x:is>
      </x:c>
      <x:c r="D34" s="6" t="n">
        <x:v>10</x:v>
      </x:c>
      <x:c r="E34" s="6" t="n">
        <x:v>12</x:v>
      </x:c>
      <x:c r="F34" s="6" t="n">
        <x:v>50</x:v>
      </x:c>
      <x:c r="G34" s="6">
        <x:f>D34+E34+F34</x:f>
        <x:v>72</x:v>
      </x:c>
      <x:c r="H34" s="6">
        <x:f>1+SUMPRODUCT(($C$2:$C$271=C34)*($G$2:$G$271&gt;G34))</x:f>
        <x:v>14</x:v>
      </x:c>
      <x:c r="I34" s="7" t="str">
        <x:f>IF(G34&gt;=70,"A",IF(G34&gt;=60,"B",IF(G34&gt;=50,"C",IF(G34&gt;=40,"D","E"))))</x:f>
        <x:v>A</x:v>
      </x:c>
      <x:c r="J34" s="5" t="str">
        <x:f>IF(G34&gt;=70,"Excellent",IF(G34&gt;=60,"Very Good",IF(G34&gt;=50,"Good",IF(G34&gt;=40,"Fair","Needs Improvement"))))</x:f>
        <x:v>Excellent</x:v>
      </x:c>
      <x:c r="K34" s="6" t="n"/>
      <x:c r="L34" s="6" t="n"/>
      <x:c r="M34" s="6" t="n"/>
      <x:c r="N34" s="6" t="n"/>
      <x:c r="O34" s="10" t="n"/>
      <x:c r="P34" s="10" t="n"/>
    </x:row>
    <x:row r="35">
      <x:c r="A35" s="7" t="n"/>
      <x:c r="B35" s="5" t="n"/>
      <x:c r="C35" s="5" t="inlineStr">
        <x:is>
          <x:t xml:space="preserve">Creative and Cultural Art</x:t>
        </x:is>
      </x:c>
      <x:c r="D35" s="6" t="n">
        <x:v>10</x:v>
      </x:c>
      <x:c r="E35" s="6" t="n">
        <x:v>18</x:v>
      </x:c>
      <x:c r="F35" s="6" t="n">
        <x:v>42</x:v>
      </x:c>
      <x:c r="G35" s="6">
        <x:f>D35+E35+F35</x:f>
        <x:v>70</x:v>
      </x:c>
      <x:c r="H35" s="6">
        <x:f>1+SUMPRODUCT(($C$2:$C$271=C35)*($G$2:$G$271&gt;G35))</x:f>
        <x:v>16</x:v>
      </x:c>
      <x:c r="I35" s="7" t="str">
        <x:f>IF(G35&gt;=70,"A",IF(G35&gt;=60,"B",IF(G35&gt;=50,"C",IF(G35&gt;=40,"D","E"))))</x:f>
        <x:v>A</x:v>
      </x:c>
      <x:c r="J35" s="5" t="str">
        <x:f>IF(G35&gt;=70,"Excellent",IF(G35&gt;=60,"Very Good",IF(G35&gt;=50,"Good",IF(G35&gt;=40,"Fair","Needs Improvement"))))</x:f>
        <x:v>Excellent</x:v>
      </x:c>
      <x:c r="K35" s="6" t="n"/>
      <x:c r="L35" s="6" t="n"/>
      <x:c r="M35" s="6" t="n"/>
      <x:c r="N35" s="6" t="n"/>
      <x:c r="O35" s="10" t="n"/>
      <x:c r="P35" s="10" t="n"/>
    </x:row>
    <x:row r="36">
      <x:c r="A36" s="7" t="n"/>
      <x:c r="B36" s="5" t="n"/>
      <x:c r="C36" s="5" t="inlineStr">
        <x:is>
          <x:t xml:space="preserve">Christian Religious Studies</x:t>
        </x:is>
      </x:c>
      <x:c r="D36" s="6" t="n">
        <x:v>7</x:v>
      </x:c>
      <x:c r="E36" s="6" t="n">
        <x:v>16</x:v>
      </x:c>
      <x:c r="F36" s="6" t="n">
        <x:v>45</x:v>
      </x:c>
      <x:c r="G36" s="6">
        <x:f>D36+E36+F36</x:f>
        <x:v>68</x:v>
      </x:c>
      <x:c r="H36" s="6">
        <x:f>1+SUMPRODUCT(($C$2:$C$271=C36)*($G$2:$G$271&gt;G36))</x:f>
        <x:v>18</x:v>
      </x:c>
      <x:c r="I36" s="7" t="str">
        <x:f>IF(G36&gt;=70,"A",IF(G36&gt;=60,"B",IF(G36&gt;=50,"C",IF(G36&gt;=40,"D","E"))))</x:f>
        <x:v>B</x:v>
      </x:c>
      <x:c r="J36" s="5" t="str">
        <x:f>IF(G36&gt;=70,"Excellent",IF(G36&gt;=60,"Very Good",IF(G36&gt;=50,"Good",IF(G36&gt;=40,"Fair","Needs Improvement"))))</x:f>
        <x:v>Very Good</x:v>
      </x:c>
      <x:c r="K36" s="6" t="n"/>
      <x:c r="L36" s="6" t="n"/>
      <x:c r="M36" s="6" t="n"/>
      <x:c r="N36" s="6" t="n"/>
      <x:c r="O36" s="10" t="n"/>
      <x:c r="P36" s="10" t="n"/>
    </x:row>
    <x:row r="37">
      <x:c r="A37" s="7" t="n"/>
      <x:c r="B37" s="5" t="n"/>
      <x:c r="C37" s="5" t="inlineStr">
        <x:is>
          <x:t xml:space="preserve">History Studies</x:t>
        </x:is>
      </x:c>
      <x:c r="D37" s="6" t="n">
        <x:v>9</x:v>
      </x:c>
      <x:c r="E37" s="6" t="n">
        <x:v>14</x:v>
      </x:c>
      <x:c r="F37" s="6" t="n">
        <x:v>60</x:v>
      </x:c>
      <x:c r="G37" s="6">
        <x:f>D37+E37+F37</x:f>
        <x:v>83</x:v>
      </x:c>
      <x:c r="H37" s="6">
        <x:f>1+SUMPRODUCT(($C$2:$C$271=C37)*($G$2:$G$271&gt;G37))</x:f>
        <x:v>6</x:v>
      </x:c>
      <x:c r="I37" s="7" t="str">
        <x:f>IF(G37&gt;=70,"A",IF(G37&gt;=60,"B",IF(G37&gt;=50,"C",IF(G37&gt;=40,"D","E"))))</x:f>
        <x:v>A</x:v>
      </x:c>
      <x:c r="J37" s="5" t="str">
        <x:f>IF(G37&gt;=70,"Excellent",IF(G37&gt;=60,"Very Good",IF(G37&gt;=50,"Good",IF(G37&gt;=40,"Fair","Needs Improvement"))))</x:f>
        <x:v>Excellent</x:v>
      </x:c>
      <x:c r="K37" s="6" t="n"/>
      <x:c r="L37" s="6" t="n"/>
      <x:c r="M37" s="6" t="n"/>
      <x:c r="N37" s="6" t="n"/>
      <x:c r="O37" s="10" t="n"/>
      <x:c r="P37" s="10" t="n"/>
    </x:row>
    <x:row r="38">
      <x:c r="A38" s="3" t="n">
        <x:v>5</x:v>
      </x:c>
      <x:c r="B38" s="4" t="inlineStr">
        <x:is>
          <x:t xml:space="preserve">Michael Balogun</x:t>
        </x:is>
      </x:c>
      <x:c r="C38" s="5" t="inlineStr">
        <x:is>
          <x:t xml:space="preserve">Mathematics</x:t>
        </x:is>
      </x:c>
      <x:c r="D38" s="6" t="n">
        <x:v>8</x:v>
      </x:c>
      <x:c r="E38" s="6" t="n">
        <x:v>15</x:v>
      </x:c>
      <x:c r="F38" s="6" t="n">
        <x:v>36</x:v>
      </x:c>
      <x:c r="G38" s="6">
        <x:f>D38+E38+F38</x:f>
        <x:v>59</x:v>
      </x:c>
      <x:c r="H38" s="6">
        <x:f>1+SUMPRODUCT(($C$2:$C$271=C38)*($G$2:$G$271&gt;G38))</x:f>
        <x:v>18</x:v>
      </x:c>
      <x:c r="I38" s="7" t="str">
        <x:f>IF(G38&gt;=70,"A",IF(G38&gt;=60,"B",IF(G38&gt;=50,"C",IF(G38&gt;=40,"D","E"))))</x:f>
        <x:v>C</x:v>
      </x:c>
      <x:c r="J38" s="5" t="str">
        <x:f>IF(G38&gt;=70,"Excellent",IF(G38&gt;=60,"Very Good",IF(G38&gt;=50,"Good",IF(G38&gt;=40,"Fair","Needs Improvement"))))</x:f>
        <x:v>Good</x:v>
      </x:c>
      <x:c r="K38" s="8">
        <x:f>SUM(D38:D46)</x:f>
        <x:v>69</x:v>
      </x:c>
      <x:c r="L38" s="8">
        <x:f>SUM(E38:E46)</x:f>
        <x:v>138</x:v>
      </x:c>
      <x:c r="M38" s="8">
        <x:f>SUM(F38:F46)</x:f>
        <x:v>463</x:v>
      </x:c>
      <x:c r="N38" s="8">
        <x:f>SUM(G38:G46)</x:f>
        <x:v>670</x:v>
      </x:c>
      <x:c r="O38" s="9">
        <x:f>ROUND(AVERAGE(G38:G46),2)</x:f>
        <x:v>74.44</x:v>
      </x:c>
      <x:c r="P38" s="9">
        <x:f>ROUND(AVERAGE($G$2:$G$271),2)</x:f>
        <x:v>67.88</x:v>
      </x:c>
    </x:row>
    <x:row r="39">
      <x:c r="A39" s="7" t="n"/>
      <x:c r="B39" s="5" t="n"/>
      <x:c r="C39" s="5" t="inlineStr">
        <x:is>
          <x:t xml:space="preserve">English Studies</x:t>
        </x:is>
      </x:c>
      <x:c r="D39" s="6" t="n">
        <x:v>10</x:v>
      </x:c>
      <x:c r="E39" s="6" t="n">
        <x:v>20</x:v>
      </x:c>
      <x:c r="F39" s="6" t="n">
        <x:v>59</x:v>
      </x:c>
      <x:c r="G39" s="6">
        <x:f>D39+E39+F39</x:f>
        <x:v>89</x:v>
      </x:c>
      <x:c r="H39" s="6">
        <x:f>1+SUMPRODUCT(($C$2:$C$271=C39)*($G$2:$G$271&gt;G39))</x:f>
        <x:v>4</x:v>
      </x:c>
      <x:c r="I39" s="7" t="str">
        <x:f>IF(G39&gt;=70,"A",IF(G39&gt;=60,"B",IF(G39&gt;=50,"C",IF(G39&gt;=40,"D","E"))))</x:f>
        <x:v>A</x:v>
      </x:c>
      <x:c r="J39" s="5" t="str">
        <x:f>IF(G39&gt;=70,"Excellent",IF(G39&gt;=60,"Very Good",IF(G39&gt;=50,"Good",IF(G39&gt;=40,"Fair","Needs Improvement"))))</x:f>
        <x:v>Excellent</x:v>
      </x:c>
      <x:c r="K39" s="6" t="n"/>
      <x:c r="L39" s="6" t="n"/>
      <x:c r="M39" s="6" t="n"/>
      <x:c r="N39" s="6" t="n"/>
      <x:c r="O39" s="10" t="n"/>
      <x:c r="P39" s="10" t="n"/>
    </x:row>
    <x:row r="40">
      <x:c r="A40" s="7" t="n"/>
      <x:c r="B40" s="5" t="n"/>
      <x:c r="C40" s="5" t="inlineStr">
        <x:is>
          <x:t xml:space="preserve">Basic Science and Technology</x:t>
        </x:is>
      </x:c>
      <x:c r="D40" s="6" t="n">
        <x:v>6</x:v>
      </x:c>
      <x:c r="E40" s="6" t="n">
        <x:v>15</x:v>
      </x:c>
      <x:c r="F40" s="6" t="n">
        <x:v>44</x:v>
      </x:c>
      <x:c r="G40" s="6">
        <x:f>D40+E40+F40</x:f>
        <x:v>65</x:v>
      </x:c>
      <x:c r="H40" s="6">
        <x:f>1+SUMPRODUCT(($C$2:$C$271=C40)*($G$2:$G$271&gt;G40))</x:f>
        <x:v>17</x:v>
      </x:c>
      <x:c r="I40" s="7" t="str">
        <x:f>IF(G40&gt;=70,"A",IF(G40&gt;=60,"B",IF(G40&gt;=50,"C",IF(G40&gt;=40,"D","E"))))</x:f>
        <x:v>B</x:v>
      </x:c>
      <x:c r="J40" s="5" t="str">
        <x:f>IF(G40&gt;=70,"Excellent",IF(G40&gt;=60,"Very Good",IF(G40&gt;=50,"Good",IF(G40&gt;=40,"Fair","Needs Improvement"))))</x:f>
        <x:v>Very Good</x:v>
      </x:c>
      <x:c r="K40" s="6" t="n"/>
      <x:c r="L40" s="6" t="n"/>
      <x:c r="M40" s="6" t="n"/>
      <x:c r="N40" s="6" t="n"/>
      <x:c r="O40" s="10" t="n"/>
      <x:c r="P40" s="10" t="n"/>
    </x:row>
    <x:row r="41">
      <x:c r="A41" s="7" t="n"/>
      <x:c r="B41" s="5" t="n"/>
      <x:c r="C41" s="5" t="inlineStr">
        <x:is>
          <x:t xml:space="preserve">Pre-Vocational Studies</x:t>
        </x:is>
      </x:c>
      <x:c r="D41" s="6" t="n">
        <x:v>4</x:v>
      </x:c>
      <x:c r="E41" s="6" t="n">
        <x:v>13</x:v>
      </x:c>
      <x:c r="F41" s="6" t="n">
        <x:v>54</x:v>
      </x:c>
      <x:c r="G41" s="6">
        <x:f>D41+E41+F41</x:f>
        <x:v>71</x:v>
      </x:c>
      <x:c r="H41" s="6">
        <x:f>1+SUMPRODUCT(($C$2:$C$271=C41)*($G$2:$G$271&gt;G41))</x:f>
        <x:v>13</x:v>
      </x:c>
      <x:c r="I41" s="7" t="str">
        <x:f>IF(G41&gt;=70,"A",IF(G41&gt;=60,"B",IF(G41&gt;=50,"C",IF(G41&gt;=40,"D","E"))))</x:f>
        <x:v>A</x:v>
      </x:c>
      <x:c r="J41" s="5" t="str">
        <x:f>IF(G41&gt;=70,"Excellent",IF(G41&gt;=60,"Very Good",IF(G41&gt;=50,"Good",IF(G41&gt;=40,"Fair","Needs Improvement"))))</x:f>
        <x:v>Excellent</x:v>
      </x:c>
      <x:c r="K41" s="6" t="n"/>
      <x:c r="L41" s="6" t="n"/>
      <x:c r="M41" s="6" t="n"/>
      <x:c r="N41" s="6" t="n"/>
      <x:c r="O41" s="10" t="n"/>
      <x:c r="P41" s="10" t="n"/>
    </x:row>
    <x:row r="42">
      <x:c r="A42" s="7" t="n"/>
      <x:c r="B42" s="5" t="n"/>
      <x:c r="C42" s="5" t="inlineStr">
        <x:is>
          <x:t xml:space="preserve">National Value</x:t>
        </x:is>
      </x:c>
      <x:c r="D42" s="6" t="n">
        <x:v>9</x:v>
      </x:c>
      <x:c r="E42" s="6" t="n">
        <x:v>12</x:v>
      </x:c>
      <x:c r="F42" s="6" t="n">
        <x:v>53</x:v>
      </x:c>
      <x:c r="G42" s="6">
        <x:f>D42+E42+F42</x:f>
        <x:v>74</x:v>
      </x:c>
      <x:c r="H42" s="6">
        <x:f>1+SUMPRODUCT(($C$2:$C$271=C42)*($G$2:$G$271&gt;G42))</x:f>
        <x:v>13</x:v>
      </x:c>
      <x:c r="I42" s="7" t="str">
        <x:f>IF(G42&gt;=70,"A",IF(G42&gt;=60,"B",IF(G42&gt;=50,"C",IF(G42&gt;=40,"D","E"))))</x:f>
        <x:v>A</x:v>
      </x:c>
      <x:c r="J42" s="5" t="str">
        <x:f>IF(G42&gt;=70,"Excellent",IF(G42&gt;=60,"Very Good",IF(G42&gt;=50,"Good",IF(G42&gt;=40,"Fair","Needs Improvement"))))</x:f>
        <x:v>Excellent</x:v>
      </x:c>
      <x:c r="K42" s="6" t="n"/>
      <x:c r="L42" s="6" t="n"/>
      <x:c r="M42" s="6" t="n"/>
      <x:c r="N42" s="6" t="n"/>
      <x:c r="O42" s="10" t="n"/>
      <x:c r="P42" s="10" t="n"/>
    </x:row>
    <x:row r="43">
      <x:c r="A43" s="7" t="n"/>
      <x:c r="B43" s="5" t="n"/>
      <x:c r="C43" s="5" t="inlineStr">
        <x:is>
          <x:t xml:space="preserve">Business Studies</x:t>
        </x:is>
      </x:c>
      <x:c r="D43" s="6" t="n">
        <x:v>10</x:v>
      </x:c>
      <x:c r="E43" s="6" t="n">
        <x:v>20</x:v>
      </x:c>
      <x:c r="F43" s="6" t="n">
        <x:v>58</x:v>
      </x:c>
      <x:c r="G43" s="6">
        <x:f>D43+E43+F43</x:f>
        <x:v>88</x:v>
      </x:c>
      <x:c r="H43" s="6">
        <x:f>1+SUMPRODUCT(($C$2:$C$271=C43)*($G$2:$G$271&gt;G43))</x:f>
        <x:v>3</x:v>
      </x:c>
      <x:c r="I43" s="7" t="str">
        <x:f>IF(G43&gt;=70,"A",IF(G43&gt;=60,"B",IF(G43&gt;=50,"C",IF(G43&gt;=40,"D","E"))))</x:f>
        <x:v>A</x:v>
      </x:c>
      <x:c r="J43" s="5" t="str">
        <x:f>IF(G43&gt;=70,"Excellent",IF(G43&gt;=60,"Very Good",IF(G43&gt;=50,"Good",IF(G43&gt;=40,"Fair","Needs Improvement"))))</x:f>
        <x:v>Excellent</x:v>
      </x:c>
      <x:c r="K43" s="6" t="n"/>
      <x:c r="L43" s="6" t="n"/>
      <x:c r="M43" s="6" t="n"/>
      <x:c r="N43" s="6" t="n"/>
      <x:c r="O43" s="10" t="n"/>
      <x:c r="P43" s="10" t="n"/>
    </x:row>
    <x:row r="44">
      <x:c r="A44" s="7" t="n"/>
      <x:c r="B44" s="5" t="n"/>
      <x:c r="C44" s="5" t="inlineStr">
        <x:is>
          <x:t xml:space="preserve">Creative and Cultural Art</x:t>
        </x:is>
      </x:c>
      <x:c r="D44" s="6" t="n">
        <x:v>6</x:v>
      </x:c>
      <x:c r="E44" s="6" t="n">
        <x:v>16</x:v>
      </x:c>
      <x:c r="F44" s="6" t="n">
        <x:v>55</x:v>
      </x:c>
      <x:c r="G44" s="6">
        <x:f>D44+E44+F44</x:f>
        <x:v>77</x:v>
      </x:c>
      <x:c r="H44" s="6">
        <x:f>1+SUMPRODUCT(($C$2:$C$271=C44)*($G$2:$G$271&gt;G44))</x:f>
        <x:v>9</x:v>
      </x:c>
      <x:c r="I44" s="7" t="str">
        <x:f>IF(G44&gt;=70,"A",IF(G44&gt;=60,"B",IF(G44&gt;=50,"C",IF(G44&gt;=40,"D","E"))))</x:f>
        <x:v>A</x:v>
      </x:c>
      <x:c r="J44" s="5" t="str">
        <x:f>IF(G44&gt;=70,"Excellent",IF(G44&gt;=60,"Very Good",IF(G44&gt;=50,"Good",IF(G44&gt;=40,"Fair","Needs Improvement"))))</x:f>
        <x:v>Excellent</x:v>
      </x:c>
      <x:c r="K44" s="6" t="n"/>
      <x:c r="L44" s="6" t="n"/>
      <x:c r="M44" s="6" t="n"/>
      <x:c r="N44" s="6" t="n"/>
      <x:c r="O44" s="10" t="n"/>
      <x:c r="P44" s="10" t="n"/>
    </x:row>
    <x:row r="45">
      <x:c r="A45" s="7" t="n"/>
      <x:c r="B45" s="5" t="n"/>
      <x:c r="C45" s="5" t="inlineStr">
        <x:is>
          <x:t xml:space="preserve">Christian Religious Studies</x:t>
        </x:is>
      </x:c>
      <x:c r="D45" s="6" t="n">
        <x:v>10</x:v>
      </x:c>
      <x:c r="E45" s="6" t="n">
        <x:v>20</x:v>
      </x:c>
      <x:c r="F45" s="6" t="n">
        <x:v>59</x:v>
      </x:c>
      <x:c r="G45" s="6">
        <x:f>D45+E45+F45</x:f>
        <x:v>89</x:v>
      </x:c>
      <x:c r="H45" s="6">
        <x:f>1+SUMPRODUCT(($C$2:$C$271=C45)*($G$2:$G$271&gt;G45))</x:f>
        <x:v>4</x:v>
      </x:c>
      <x:c r="I45" s="7" t="str">
        <x:f>IF(G45&gt;=70,"A",IF(G45&gt;=60,"B",IF(G45&gt;=50,"C",IF(G45&gt;=40,"D","E"))))</x:f>
        <x:v>A</x:v>
      </x:c>
      <x:c r="J45" s="5" t="str">
        <x:f>IF(G45&gt;=70,"Excellent",IF(G45&gt;=60,"Very Good",IF(G45&gt;=50,"Good",IF(G45&gt;=40,"Fair","Needs Improvement"))))</x:f>
        <x:v>Excellent</x:v>
      </x:c>
      <x:c r="K45" s="6" t="n"/>
      <x:c r="L45" s="6" t="n"/>
      <x:c r="M45" s="6" t="n"/>
      <x:c r="N45" s="6" t="n"/>
      <x:c r="O45" s="10" t="n"/>
      <x:c r="P45" s="10" t="n"/>
    </x:row>
    <x:row r="46">
      <x:c r="A46" s="7" t="n"/>
      <x:c r="B46" s="5" t="n"/>
      <x:c r="C46" s="5" t="inlineStr">
        <x:is>
          <x:t xml:space="preserve">History Studies</x:t>
        </x:is>
      </x:c>
      <x:c r="D46" s="6" t="n">
        <x:v>6</x:v>
      </x:c>
      <x:c r="E46" s="6" t="n">
        <x:v>7</x:v>
      </x:c>
      <x:c r="F46" s="6" t="n">
        <x:v>45</x:v>
      </x:c>
      <x:c r="G46" s="6">
        <x:f>D46+E46+F46</x:f>
        <x:v>58</x:v>
      </x:c>
      <x:c r="H46" s="6">
        <x:f>1+SUMPRODUCT(($C$2:$C$271=C46)*($G$2:$G$271&gt;G46))</x:f>
        <x:v>24</x:v>
      </x:c>
      <x:c r="I46" s="7" t="str">
        <x:f>IF(G46&gt;=70,"A",IF(G46&gt;=60,"B",IF(G46&gt;=50,"C",IF(G46&gt;=40,"D","E"))))</x:f>
        <x:v>C</x:v>
      </x:c>
      <x:c r="J46" s="5" t="str">
        <x:f>IF(G46&gt;=70,"Excellent",IF(G46&gt;=60,"Very Good",IF(G46&gt;=50,"Good",IF(G46&gt;=40,"Fair","Needs Improvement"))))</x:f>
        <x:v>Good</x:v>
      </x:c>
      <x:c r="K46" s="6" t="n"/>
      <x:c r="L46" s="6" t="n"/>
      <x:c r="M46" s="6" t="n"/>
      <x:c r="N46" s="6" t="n"/>
      <x:c r="O46" s="10" t="n"/>
      <x:c r="P46" s="10" t="n"/>
    </x:row>
    <x:row r="47">
      <x:c r="A47" s="3" t="n">
        <x:v>6</x:v>
      </x:c>
      <x:c r="B47" s="4" t="inlineStr">
        <x:is>
          <x:t xml:space="preserve">Joy Olawale</x:t>
        </x:is>
      </x:c>
      <x:c r="C47" s="5" t="inlineStr">
        <x:is>
          <x:t xml:space="preserve">Mathematics</x:t>
        </x:is>
      </x:c>
      <x:c r="D47" s="6" t="n">
        <x:v>2</x:v>
      </x:c>
      <x:c r="E47" s="6" t="n">
        <x:v>3</x:v>
      </x:c>
      <x:c r="F47" s="6" t="n">
        <x:v>30</x:v>
      </x:c>
      <x:c r="G47" s="6">
        <x:f>D47+E47+F47</x:f>
        <x:v>35</x:v>
      </x:c>
      <x:c r="H47" s="6">
        <x:f>1+SUMPRODUCT(($C$2:$C$271=C47)*($G$2:$G$271&gt;G47))</x:f>
        <x:v>29</x:v>
      </x:c>
      <x:c r="I47" s="7" t="str">
        <x:f>IF(G47&gt;=70,"A",IF(G47&gt;=60,"B",IF(G47&gt;=50,"C",IF(G47&gt;=40,"D","E"))))</x:f>
        <x:v>E</x:v>
      </x:c>
      <x:c r="J47" s="5" t="str">
        <x:f>IF(G47&gt;=70,"Excellent",IF(G47&gt;=60,"Very Good",IF(G47&gt;=50,"Good",IF(G47&gt;=40,"Fair","Needs Improvement"))))</x:f>
        <x:v>Needs Improvement</x:v>
      </x:c>
      <x:c r="K47" s="8">
        <x:f>SUM(D47:D55)</x:f>
        <x:v>29</x:v>
      </x:c>
      <x:c r="L47" s="8">
        <x:f>SUM(E47:E55)</x:f>
        <x:v>95</x:v>
      </x:c>
      <x:c r="M47" s="8">
        <x:f>SUM(F47:F55)</x:f>
        <x:v>281</x:v>
      </x:c>
      <x:c r="N47" s="8">
        <x:f>SUM(G47:G55)</x:f>
        <x:v>405</x:v>
      </x:c>
      <x:c r="O47" s="9">
        <x:f>ROUND(AVERAGE(G47:G55),2)</x:f>
        <x:v>45</x:v>
      </x:c>
      <x:c r="P47" s="9">
        <x:f>ROUND(AVERAGE($G$2:$G$271),2)</x:f>
        <x:v>67.88</x:v>
      </x:c>
    </x:row>
    <x:row r="48">
      <x:c r="A48" s="7" t="n"/>
      <x:c r="B48" s="5" t="n"/>
      <x:c r="C48" s="5" t="inlineStr">
        <x:is>
          <x:t xml:space="preserve">English Studies</x:t>
        </x:is>
      </x:c>
      <x:c r="D48" s="6" t="n">
        <x:v>1</x:v>
      </x:c>
      <x:c r="E48" s="6" t="n">
        <x:v>10</x:v>
      </x:c>
      <x:c r="F48" s="6" t="n">
        <x:v>22</x:v>
      </x:c>
      <x:c r="G48" s="6">
        <x:f>D48+E48+F48</x:f>
        <x:v>33</x:v>
      </x:c>
      <x:c r="H48" s="6">
        <x:f>1+SUMPRODUCT(($C$2:$C$271=C48)*($G$2:$G$271&gt;G48))</x:f>
        <x:v>30</x:v>
      </x:c>
      <x:c r="I48" s="7" t="str">
        <x:f>IF(G48&gt;=70,"A",IF(G48&gt;=60,"B",IF(G48&gt;=50,"C",IF(G48&gt;=40,"D","E"))))</x:f>
        <x:v>E</x:v>
      </x:c>
      <x:c r="J48" s="5" t="str">
        <x:f>IF(G48&gt;=70,"Excellent",IF(G48&gt;=60,"Very Good",IF(G48&gt;=50,"Good",IF(G48&gt;=40,"Fair","Needs Improvement"))))</x:f>
        <x:v>Needs Improvement</x:v>
      </x:c>
      <x:c r="K48" s="6" t="n"/>
      <x:c r="L48" s="6" t="n"/>
      <x:c r="M48" s="6" t="n"/>
      <x:c r="N48" s="6" t="n"/>
      <x:c r="O48" s="10" t="n"/>
      <x:c r="P48" s="10" t="n"/>
    </x:row>
    <x:row r="49">
      <x:c r="A49" s="7" t="n"/>
      <x:c r="B49" s="5" t="n"/>
      <x:c r="C49" s="5" t="inlineStr">
        <x:is>
          <x:t xml:space="preserve">Basic Science and Technology</x:t>
        </x:is>
      </x:c>
      <x:c r="D49" s="6" t="n">
        <x:v>1</x:v>
      </x:c>
      <x:c r="E49" s="6" t="n">
        <x:v>12</x:v>
      </x:c>
      <x:c r="F49" s="6" t="n">
        <x:v>20</x:v>
      </x:c>
      <x:c r="G49" s="6">
        <x:f>D49+E49+F49</x:f>
        <x:v>33</x:v>
      </x:c>
      <x:c r="H49" s="6">
        <x:f>1+SUMPRODUCT(($C$2:$C$271=C49)*($G$2:$G$271&gt;G49))</x:f>
        <x:v>30</x:v>
      </x:c>
      <x:c r="I49" s="7" t="str">
        <x:f>IF(G49&gt;=70,"A",IF(G49&gt;=60,"B",IF(G49&gt;=50,"C",IF(G49&gt;=40,"D","E"))))</x:f>
        <x:v>E</x:v>
      </x:c>
      <x:c r="J49" s="5" t="str">
        <x:f>IF(G49&gt;=70,"Excellent",IF(G49&gt;=60,"Very Good",IF(G49&gt;=50,"Good",IF(G49&gt;=40,"Fair","Needs Improvement"))))</x:f>
        <x:v>Needs Improvement</x:v>
      </x:c>
      <x:c r="K49" s="6" t="n"/>
      <x:c r="L49" s="6" t="n"/>
      <x:c r="M49" s="6" t="n"/>
      <x:c r="N49" s="6" t="n"/>
      <x:c r="O49" s="10" t="n"/>
      <x:c r="P49" s="10" t="n"/>
    </x:row>
    <x:row r="50">
      <x:c r="A50" s="7" t="n"/>
      <x:c r="B50" s="5" t="n"/>
      <x:c r="C50" s="5" t="inlineStr">
        <x:is>
          <x:t xml:space="preserve">Pre-Vocational Studies</x:t>
        </x:is>
      </x:c>
      <x:c r="D50" s="6" t="n">
        <x:v>4</x:v>
      </x:c>
      <x:c r="E50" s="6" t="n">
        <x:v>13</x:v>
      </x:c>
      <x:c r="F50" s="6" t="n">
        <x:v>32</x:v>
      </x:c>
      <x:c r="G50" s="6">
        <x:f>D50+E50+F50</x:f>
        <x:v>49</x:v>
      </x:c>
      <x:c r="H50" s="6">
        <x:f>1+SUMPRODUCT(($C$2:$C$271=C50)*($G$2:$G$271&gt;G50))</x:f>
        <x:v>27</x:v>
      </x:c>
      <x:c r="I50" s="7" t="str">
        <x:f>IF(G50&gt;=70,"A",IF(G50&gt;=60,"B",IF(G50&gt;=50,"C",IF(G50&gt;=40,"D","E"))))</x:f>
        <x:v>D</x:v>
      </x:c>
      <x:c r="J50" s="5" t="str">
        <x:f>IF(G50&gt;=70,"Excellent",IF(G50&gt;=60,"Very Good",IF(G50&gt;=50,"Good",IF(G50&gt;=40,"Fair","Needs Improvement"))))</x:f>
        <x:v>Fair</x:v>
      </x:c>
      <x:c r="K50" s="6" t="n"/>
      <x:c r="L50" s="6" t="n"/>
      <x:c r="M50" s="6" t="n"/>
      <x:c r="N50" s="6" t="n"/>
      <x:c r="O50" s="10" t="n"/>
      <x:c r="P50" s="10" t="n"/>
    </x:row>
    <x:row r="51">
      <x:c r="A51" s="7" t="n"/>
      <x:c r="B51" s="5" t="n"/>
      <x:c r="C51" s="5" t="inlineStr">
        <x:is>
          <x:t xml:space="preserve">National Value</x:t>
        </x:is>
      </x:c>
      <x:c r="D51" s="6" t="n">
        <x:v>4</x:v>
      </x:c>
      <x:c r="E51" s="6" t="n">
        <x:v>14</x:v>
      </x:c>
      <x:c r="F51" s="6" t="n">
        <x:v>44</x:v>
      </x:c>
      <x:c r="G51" s="6">
        <x:f>D51+E51+F51</x:f>
        <x:v>62</x:v>
      </x:c>
      <x:c r="H51" s="6">
        <x:f>1+SUMPRODUCT(($C$2:$C$271=C51)*($G$2:$G$271&gt;G51))</x:f>
        <x:v>23</x:v>
      </x:c>
      <x:c r="I51" s="7" t="str">
        <x:f>IF(G51&gt;=70,"A",IF(G51&gt;=60,"B",IF(G51&gt;=50,"C",IF(G51&gt;=40,"D","E"))))</x:f>
        <x:v>B</x:v>
      </x:c>
      <x:c r="J51" s="5" t="str">
        <x:f>IF(G51&gt;=70,"Excellent",IF(G51&gt;=60,"Very Good",IF(G51&gt;=50,"Good",IF(G51&gt;=40,"Fair","Needs Improvement"))))</x:f>
        <x:v>Very Good</x:v>
      </x:c>
      <x:c r="K51" s="6" t="n"/>
      <x:c r="L51" s="6" t="n"/>
      <x:c r="M51" s="6" t="n"/>
      <x:c r="N51" s="6" t="n"/>
      <x:c r="O51" s="10" t="n"/>
      <x:c r="P51" s="10" t="n"/>
    </x:row>
    <x:row r="52">
      <x:c r="A52" s="7" t="n"/>
      <x:c r="B52" s="5" t="n"/>
      <x:c r="C52" s="5" t="inlineStr">
        <x:is>
          <x:t xml:space="preserve">Business Studies</x:t>
        </x:is>
      </x:c>
      <x:c r="D52" s="6" t="n">
        <x:v>8</x:v>
      </x:c>
      <x:c r="E52" s="6" t="n">
        <x:v>11</x:v>
      </x:c>
      <x:c r="F52" s="6" t="n">
        <x:v>39</x:v>
      </x:c>
      <x:c r="G52" s="6">
        <x:f>D52+E52+F52</x:f>
        <x:v>58</x:v>
      </x:c>
      <x:c r="H52" s="6">
        <x:f>1+SUMPRODUCT(($C$2:$C$271=C52)*($G$2:$G$271&gt;G52))</x:f>
        <x:v>22</x:v>
      </x:c>
      <x:c r="I52" s="7" t="str">
        <x:f>IF(G52&gt;=70,"A",IF(G52&gt;=60,"B",IF(G52&gt;=50,"C",IF(G52&gt;=40,"D","E"))))</x:f>
        <x:v>C</x:v>
      </x:c>
      <x:c r="J52" s="5" t="str">
        <x:f>IF(G52&gt;=70,"Excellent",IF(G52&gt;=60,"Very Good",IF(G52&gt;=50,"Good",IF(G52&gt;=40,"Fair","Needs Improvement"))))</x:f>
        <x:v>Good</x:v>
      </x:c>
      <x:c r="K52" s="6" t="n"/>
      <x:c r="L52" s="6" t="n"/>
      <x:c r="M52" s="6" t="n"/>
      <x:c r="N52" s="6" t="n"/>
      <x:c r="O52" s="10" t="n"/>
      <x:c r="P52" s="10" t="n"/>
    </x:row>
    <x:row r="53">
      <x:c r="A53" s="7" t="n"/>
      <x:c r="B53" s="5" t="n"/>
      <x:c r="C53" s="5" t="inlineStr">
        <x:is>
          <x:t xml:space="preserve">Creative and Cultural Art</x:t>
        </x:is>
      </x:c>
      <x:c r="D53" s="6" t="n">
        <x:v>5</x:v>
      </x:c>
      <x:c r="E53" s="6" t="n">
        <x:v>13</x:v>
      </x:c>
      <x:c r="F53" s="6" t="n">
        <x:v>37</x:v>
      </x:c>
      <x:c r="G53" s="6">
        <x:f>D53+E53+F53</x:f>
        <x:v>55</x:v>
      </x:c>
      <x:c r="H53" s="6">
        <x:f>1+SUMPRODUCT(($C$2:$C$271=C53)*($G$2:$G$271&gt;G53))</x:f>
        <x:v>24</x:v>
      </x:c>
      <x:c r="I53" s="7" t="str">
        <x:f>IF(G53&gt;=70,"A",IF(G53&gt;=60,"B",IF(G53&gt;=50,"C",IF(G53&gt;=40,"D","E"))))</x:f>
        <x:v>C</x:v>
      </x:c>
      <x:c r="J53" s="5" t="str">
        <x:f>IF(G53&gt;=70,"Excellent",IF(G53&gt;=60,"Very Good",IF(G53&gt;=50,"Good",IF(G53&gt;=40,"Fair","Needs Improvement"))))</x:f>
        <x:v>Good</x:v>
      </x:c>
      <x:c r="K53" s="6" t="n"/>
      <x:c r="L53" s="6" t="n"/>
      <x:c r="M53" s="6" t="n"/>
      <x:c r="N53" s="6" t="n"/>
      <x:c r="O53" s="10" t="n"/>
      <x:c r="P53" s="10" t="n"/>
    </x:row>
    <x:row r="54">
      <x:c r="A54" s="7" t="n"/>
      <x:c r="B54" s="5" t="n"/>
      <x:c r="C54" s="5" t="inlineStr">
        <x:is>
          <x:t xml:space="preserve">Christian Religious Studies</x:t>
        </x:is>
      </x:c>
      <x:c r="D54" s="6" t="n">
        <x:v>3</x:v>
      </x:c>
      <x:c r="E54" s="6" t="n">
        <x:v>8</x:v>
      </x:c>
      <x:c r="F54" s="6" t="n">
        <x:v>30</x:v>
      </x:c>
      <x:c r="G54" s="6">
        <x:f>D54+E54+F54</x:f>
        <x:v>41</x:v>
      </x:c>
      <x:c r="H54" s="6">
        <x:f>1+SUMPRODUCT(($C$2:$C$271=C54)*($G$2:$G$271&gt;G54))</x:f>
        <x:v>27</x:v>
      </x:c>
      <x:c r="I54" s="7" t="str">
        <x:f>IF(G54&gt;=70,"A",IF(G54&gt;=60,"B",IF(G54&gt;=50,"C",IF(G54&gt;=40,"D","E"))))</x:f>
        <x:v>D</x:v>
      </x:c>
      <x:c r="J54" s="5" t="str">
        <x:f>IF(G54&gt;=70,"Excellent",IF(G54&gt;=60,"Very Good",IF(G54&gt;=50,"Good",IF(G54&gt;=40,"Fair","Needs Improvement"))))</x:f>
        <x:v>Fair</x:v>
      </x:c>
      <x:c r="K54" s="6" t="n"/>
      <x:c r="L54" s="6" t="n"/>
      <x:c r="M54" s="6" t="n"/>
      <x:c r="N54" s="6" t="n"/>
      <x:c r="O54" s="10" t="n"/>
      <x:c r="P54" s="10" t="n"/>
    </x:row>
    <x:row r="55">
      <x:c r="A55" s="7" t="n"/>
      <x:c r="B55" s="5" t="n"/>
      <x:c r="C55" s="5" t="inlineStr">
        <x:is>
          <x:t xml:space="preserve">History Studies</x:t>
        </x:is>
      </x:c>
      <x:c r="D55" s="6" t="n">
        <x:v>1</x:v>
      </x:c>
      <x:c r="E55" s="6" t="n">
        <x:v>11</x:v>
      </x:c>
      <x:c r="F55" s="6" t="n">
        <x:v>27</x:v>
      </x:c>
      <x:c r="G55" s="6">
        <x:f>D55+E55+F55</x:f>
        <x:v>39</x:v>
      </x:c>
      <x:c r="H55" s="6">
        <x:f>1+SUMPRODUCT(($C$2:$C$271=C55)*($G$2:$G$271&gt;G55))</x:f>
        <x:v>29</x:v>
      </x:c>
      <x:c r="I55" s="7" t="str">
        <x:f>IF(G55&gt;=70,"A",IF(G55&gt;=60,"B",IF(G55&gt;=50,"C",IF(G55&gt;=40,"D","E"))))</x:f>
        <x:v>E</x:v>
      </x:c>
      <x:c r="J55" s="5" t="str">
        <x:f>IF(G55&gt;=70,"Excellent",IF(G55&gt;=60,"Very Good",IF(G55&gt;=50,"Good",IF(G55&gt;=40,"Fair","Needs Improvement"))))</x:f>
        <x:v>Needs Improvement</x:v>
      </x:c>
      <x:c r="K55" s="6" t="n"/>
      <x:c r="L55" s="6" t="n"/>
      <x:c r="M55" s="6" t="n"/>
      <x:c r="N55" s="6" t="n"/>
      <x:c r="O55" s="10" t="n"/>
      <x:c r="P55" s="10" t="n"/>
    </x:row>
    <x:row r="56">
      <x:c r="A56" s="3" t="n">
        <x:v>7</x:v>
      </x:c>
      <x:c r="B56" s="4" t="inlineStr">
        <x:is>
          <x:t xml:space="preserve">David Uche</x:t>
        </x:is>
      </x:c>
      <x:c r="C56" s="5" t="inlineStr">
        <x:is>
          <x:t xml:space="preserve">Mathematics</x:t>
        </x:is>
      </x:c>
      <x:c r="D56" s="6" t="n">
        <x:v>4</x:v>
      </x:c>
      <x:c r="E56" s="6" t="n">
        <x:v>9</x:v>
      </x:c>
      <x:c r="F56" s="6" t="n">
        <x:v>45</x:v>
      </x:c>
      <x:c r="G56" s="6">
        <x:f>D56+E56+F56</x:f>
        <x:v>58</x:v>
      </x:c>
      <x:c r="H56" s="6">
        <x:f>1+SUMPRODUCT(($C$2:$C$271=C56)*($G$2:$G$271&gt;G56))</x:f>
        <x:v>20</x:v>
      </x:c>
      <x:c r="I56" s="7" t="str">
        <x:f>IF(G56&gt;=70,"A",IF(G56&gt;=60,"B",IF(G56&gt;=50,"C",IF(G56&gt;=40,"D","E"))))</x:f>
        <x:v>C</x:v>
      </x:c>
      <x:c r="J56" s="5" t="str">
        <x:f>IF(G56&gt;=70,"Excellent",IF(G56&gt;=60,"Very Good",IF(G56&gt;=50,"Good",IF(G56&gt;=40,"Fair","Needs Improvement"))))</x:f>
        <x:v>Good</x:v>
      </x:c>
      <x:c r="K56" s="8">
        <x:f>SUM(D56:D64)</x:f>
        <x:v>60</x:v>
      </x:c>
      <x:c r="L56" s="8">
        <x:f>SUM(E56:E64)</x:f>
        <x:v>129</x:v>
      </x:c>
      <x:c r="M56" s="8">
        <x:f>SUM(F56:F64)</x:f>
        <x:v>473</x:v>
      </x:c>
      <x:c r="N56" s="8">
        <x:f>SUM(G56:G64)</x:f>
        <x:v>662</x:v>
      </x:c>
      <x:c r="O56" s="9">
        <x:f>ROUND(AVERAGE(G56:G64),2)</x:f>
        <x:v>73.56</x:v>
      </x:c>
      <x:c r="P56" s="9">
        <x:f>ROUND(AVERAGE($G$2:$G$271),2)</x:f>
        <x:v>67.88</x:v>
      </x:c>
    </x:row>
    <x:row r="57">
      <x:c r="A57" s="7" t="n"/>
      <x:c r="B57" s="5" t="n"/>
      <x:c r="C57" s="5" t="inlineStr">
        <x:is>
          <x:t xml:space="preserve">English Studies</x:t>
        </x:is>
      </x:c>
      <x:c r="D57" s="6" t="n">
        <x:v>6</x:v>
      </x:c>
      <x:c r="E57" s="6" t="n">
        <x:v>13</x:v>
      </x:c>
      <x:c r="F57" s="6" t="n">
        <x:v>51</x:v>
      </x:c>
      <x:c r="G57" s="6">
        <x:f>D57+E57+F57</x:f>
        <x:v>70</x:v>
      </x:c>
      <x:c r="H57" s="6">
        <x:f>1+SUMPRODUCT(($C$2:$C$271=C57)*($G$2:$G$271&gt;G57))</x:f>
        <x:v>13</x:v>
      </x:c>
      <x:c r="I57" s="7" t="str">
        <x:f>IF(G57&gt;=70,"A",IF(G57&gt;=60,"B",IF(G57&gt;=50,"C",IF(G57&gt;=40,"D","E"))))</x:f>
        <x:v>A</x:v>
      </x:c>
      <x:c r="J57" s="5" t="str">
        <x:f>IF(G57&gt;=70,"Excellent",IF(G57&gt;=60,"Very Good",IF(G57&gt;=50,"Good",IF(G57&gt;=40,"Fair","Needs Improvement"))))</x:f>
        <x:v>Excellent</x:v>
      </x:c>
      <x:c r="K57" s="6" t="n"/>
      <x:c r="L57" s="6" t="n"/>
      <x:c r="M57" s="6" t="n"/>
      <x:c r="N57" s="6" t="n"/>
      <x:c r="O57" s="10" t="n"/>
      <x:c r="P57" s="10" t="n"/>
    </x:row>
    <x:row r="58">
      <x:c r="A58" s="7" t="n"/>
      <x:c r="B58" s="5" t="n"/>
      <x:c r="C58" s="5" t="inlineStr">
        <x:is>
          <x:t xml:space="preserve">Basic Science and Technology</x:t>
        </x:is>
      </x:c>
      <x:c r="D58" s="6" t="n">
        <x:v>3</x:v>
      </x:c>
      <x:c r="E58" s="6" t="n">
        <x:v>15</x:v>
      </x:c>
      <x:c r="F58" s="6" t="n">
        <x:v>45</x:v>
      </x:c>
      <x:c r="G58" s="6">
        <x:f>D58+E58+F58</x:f>
        <x:v>63</x:v>
      </x:c>
      <x:c r="H58" s="6">
        <x:f>1+SUMPRODUCT(($C$2:$C$271=C58)*($G$2:$G$271&gt;G58))</x:f>
        <x:v>21</x:v>
      </x:c>
      <x:c r="I58" s="7" t="str">
        <x:f>IF(G58&gt;=70,"A",IF(G58&gt;=60,"B",IF(G58&gt;=50,"C",IF(G58&gt;=40,"D","E"))))</x:f>
        <x:v>B</x:v>
      </x:c>
      <x:c r="J58" s="5" t="str">
        <x:f>IF(G58&gt;=70,"Excellent",IF(G58&gt;=60,"Very Good",IF(G58&gt;=50,"Good",IF(G58&gt;=40,"Fair","Needs Improvement"))))</x:f>
        <x:v>Very Good</x:v>
      </x:c>
      <x:c r="K58" s="6" t="n"/>
      <x:c r="L58" s="6" t="n"/>
      <x:c r="M58" s="6" t="n"/>
      <x:c r="N58" s="6" t="n"/>
      <x:c r="O58" s="10" t="n"/>
      <x:c r="P58" s="10" t="n"/>
    </x:row>
    <x:row r="59">
      <x:c r="A59" s="7" t="n"/>
      <x:c r="B59" s="5" t="n"/>
      <x:c r="C59" s="5" t="inlineStr">
        <x:is>
          <x:t xml:space="preserve">Pre-Vocational Studies</x:t>
        </x:is>
      </x:c>
      <x:c r="D59" s="6" t="n">
        <x:v>9</x:v>
      </x:c>
      <x:c r="E59" s="6" t="n">
        <x:v>16</x:v>
      </x:c>
      <x:c r="F59" s="6" t="n">
        <x:v>49</x:v>
      </x:c>
      <x:c r="G59" s="6">
        <x:f>D59+E59+F59</x:f>
        <x:v>74</x:v>
      </x:c>
      <x:c r="H59" s="6">
        <x:f>1+SUMPRODUCT(($C$2:$C$271=C59)*($G$2:$G$271&gt;G59))</x:f>
        <x:v>9</x:v>
      </x:c>
      <x:c r="I59" s="7" t="str">
        <x:f>IF(G59&gt;=70,"A",IF(G59&gt;=60,"B",IF(G59&gt;=50,"C",IF(G59&gt;=40,"D","E"))))</x:f>
        <x:v>A</x:v>
      </x:c>
      <x:c r="J59" s="5" t="str">
        <x:f>IF(G59&gt;=70,"Excellent",IF(G59&gt;=60,"Very Good",IF(G59&gt;=50,"Good",IF(G59&gt;=40,"Fair","Needs Improvement"))))</x:f>
        <x:v>Excellent</x:v>
      </x:c>
      <x:c r="K59" s="6" t="n"/>
      <x:c r="L59" s="6" t="n"/>
      <x:c r="M59" s="6" t="n"/>
      <x:c r="N59" s="6" t="n"/>
      <x:c r="O59" s="10" t="n"/>
      <x:c r="P59" s="10" t="n"/>
    </x:row>
    <x:row r="60">
      <x:c r="A60" s="7" t="n"/>
      <x:c r="B60" s="5" t="n"/>
      <x:c r="C60" s="5" t="inlineStr">
        <x:is>
          <x:t xml:space="preserve">National Value</x:t>
        </x:is>
      </x:c>
      <x:c r="D60" s="6" t="n">
        <x:v>9</x:v>
      </x:c>
      <x:c r="E60" s="6" t="n">
        <x:v>18</x:v>
      </x:c>
      <x:c r="F60" s="6" t="n">
        <x:v>45</x:v>
      </x:c>
      <x:c r="G60" s="6">
        <x:f>D60+E60+F60</x:f>
        <x:v>72</x:v>
      </x:c>
      <x:c r="H60" s="6">
        <x:f>1+SUMPRODUCT(($C$2:$C$271=C60)*($G$2:$G$271&gt;G60))</x:f>
        <x:v>15</x:v>
      </x:c>
      <x:c r="I60" s="7" t="str">
        <x:f>IF(G60&gt;=70,"A",IF(G60&gt;=60,"B",IF(G60&gt;=50,"C",IF(G60&gt;=40,"D","E"))))</x:f>
        <x:v>A</x:v>
      </x:c>
      <x:c r="J60" s="5" t="str">
        <x:f>IF(G60&gt;=70,"Excellent",IF(G60&gt;=60,"Very Good",IF(G60&gt;=50,"Good",IF(G60&gt;=40,"Fair","Needs Improvement"))))</x:f>
        <x:v>Excellent</x:v>
      </x:c>
      <x:c r="K60" s="6" t="n"/>
      <x:c r="L60" s="6" t="n"/>
      <x:c r="M60" s="6" t="n"/>
      <x:c r="N60" s="6" t="n"/>
      <x:c r="O60" s="10" t="n"/>
      <x:c r="P60" s="10" t="n"/>
    </x:row>
    <x:row r="61">
      <x:c r="A61" s="7" t="n"/>
      <x:c r="B61" s="5" t="n"/>
      <x:c r="C61" s="5" t="inlineStr">
        <x:is>
          <x:t xml:space="preserve">Business Studies</x:t>
        </x:is>
      </x:c>
      <x:c r="D61" s="6" t="n">
        <x:v>6</x:v>
      </x:c>
      <x:c r="E61" s="6" t="n">
        <x:v>18</x:v>
      </x:c>
      <x:c r="F61" s="6" t="n">
        <x:v>63</x:v>
      </x:c>
      <x:c r="G61" s="6">
        <x:f>D61+E61+F61</x:f>
        <x:v>87</x:v>
      </x:c>
      <x:c r="H61" s="6">
        <x:f>1+SUMPRODUCT(($C$2:$C$271=C61)*($G$2:$G$271&gt;G61))</x:f>
        <x:v>5</x:v>
      </x:c>
      <x:c r="I61" s="7" t="str">
        <x:f>IF(G61&gt;=70,"A",IF(G61&gt;=60,"B",IF(G61&gt;=50,"C",IF(G61&gt;=40,"D","E"))))</x:f>
        <x:v>A</x:v>
      </x:c>
      <x:c r="J61" s="5" t="str">
        <x:f>IF(G61&gt;=70,"Excellent",IF(G61&gt;=60,"Very Good",IF(G61&gt;=50,"Good",IF(G61&gt;=40,"Fair","Needs Improvement"))))</x:f>
        <x:v>Excellent</x:v>
      </x:c>
      <x:c r="K61" s="6" t="n"/>
      <x:c r="L61" s="6" t="n"/>
      <x:c r="M61" s="6" t="n"/>
      <x:c r="N61" s="6" t="n"/>
      <x:c r="O61" s="10" t="n"/>
      <x:c r="P61" s="10" t="n"/>
    </x:row>
    <x:row r="62">
      <x:c r="A62" s="7" t="n"/>
      <x:c r="B62" s="5" t="n"/>
      <x:c r="C62" s="5" t="inlineStr">
        <x:is>
          <x:t xml:space="preserve">Creative and Cultural Art</x:t>
        </x:is>
      </x:c>
      <x:c r="D62" s="6" t="n">
        <x:v>5</x:v>
      </x:c>
      <x:c r="E62" s="6" t="n">
        <x:v>12</x:v>
      </x:c>
      <x:c r="F62" s="6" t="n">
        <x:v>53</x:v>
      </x:c>
      <x:c r="G62" s="6">
        <x:f>D62+E62+F62</x:f>
        <x:v>70</x:v>
      </x:c>
      <x:c r="H62" s="6">
        <x:f>1+SUMPRODUCT(($C$2:$C$271=C62)*($G$2:$G$271&gt;G62))</x:f>
        <x:v>16</x:v>
      </x:c>
      <x:c r="I62" s="7" t="str">
        <x:f>IF(G62&gt;=70,"A",IF(G62&gt;=60,"B",IF(G62&gt;=50,"C",IF(G62&gt;=40,"D","E"))))</x:f>
        <x:v>A</x:v>
      </x:c>
      <x:c r="J62" s="5" t="str">
        <x:f>IF(G62&gt;=70,"Excellent",IF(G62&gt;=60,"Very Good",IF(G62&gt;=50,"Good",IF(G62&gt;=40,"Fair","Needs Improvement"))))</x:f>
        <x:v>Excellent</x:v>
      </x:c>
      <x:c r="K62" s="6" t="n"/>
      <x:c r="L62" s="6" t="n"/>
      <x:c r="M62" s="6" t="n"/>
      <x:c r="N62" s="6" t="n"/>
      <x:c r="O62" s="10" t="n"/>
      <x:c r="P62" s="10" t="n"/>
    </x:row>
    <x:row r="63">
      <x:c r="A63" s="7" t="n"/>
      <x:c r="B63" s="5" t="n"/>
      <x:c r="C63" s="5" t="inlineStr">
        <x:is>
          <x:t xml:space="preserve">Christian Religious Studies</x:t>
        </x:is>
      </x:c>
      <x:c r="D63" s="6" t="n">
        <x:v>8</x:v>
      </x:c>
      <x:c r="E63" s="6" t="n">
        <x:v>18</x:v>
      </x:c>
      <x:c r="F63" s="6" t="n">
        <x:v>64</x:v>
      </x:c>
      <x:c r="G63" s="6">
        <x:f>D63+E63+F63</x:f>
        <x:v>90</x:v>
      </x:c>
      <x:c r="H63" s="6">
        <x:f>1+SUMPRODUCT(($C$2:$C$271=C63)*($G$2:$G$271&gt;G63))</x:f>
        <x:v>3</x:v>
      </x:c>
      <x:c r="I63" s="7" t="str">
        <x:f>IF(G63&gt;=70,"A",IF(G63&gt;=60,"B",IF(G63&gt;=50,"C",IF(G63&gt;=40,"D","E"))))</x:f>
        <x:v>A</x:v>
      </x:c>
      <x:c r="J63" s="5" t="str">
        <x:f>IF(G63&gt;=70,"Excellent",IF(G63&gt;=60,"Very Good",IF(G63&gt;=50,"Good",IF(G63&gt;=40,"Fair","Needs Improvement"))))</x:f>
        <x:v>Excellent</x:v>
      </x:c>
      <x:c r="K63" s="6" t="n"/>
      <x:c r="L63" s="6" t="n"/>
      <x:c r="M63" s="6" t="n"/>
      <x:c r="N63" s="6" t="n"/>
      <x:c r="O63" s="10" t="n"/>
      <x:c r="P63" s="10" t="n"/>
    </x:row>
    <x:row r="64">
      <x:c r="A64" s="7" t="n"/>
      <x:c r="B64" s="5" t="n"/>
      <x:c r="C64" s="5" t="inlineStr">
        <x:is>
          <x:t xml:space="preserve">History Studies</x:t>
        </x:is>
      </x:c>
      <x:c r="D64" s="6" t="n">
        <x:v>10</x:v>
      </x:c>
      <x:c r="E64" s="6" t="n">
        <x:v>10</x:v>
      </x:c>
      <x:c r="F64" s="6" t="n">
        <x:v>58</x:v>
      </x:c>
      <x:c r="G64" s="6">
        <x:f>D64+E64+F64</x:f>
        <x:v>78</x:v>
      </x:c>
      <x:c r="H64" s="6">
        <x:f>1+SUMPRODUCT(($C$2:$C$271=C64)*($G$2:$G$271&gt;G64))</x:f>
        <x:v>11</x:v>
      </x:c>
      <x:c r="I64" s="7" t="str">
        <x:f>IF(G64&gt;=70,"A",IF(G64&gt;=60,"B",IF(G64&gt;=50,"C",IF(G64&gt;=40,"D","E"))))</x:f>
        <x:v>A</x:v>
      </x:c>
      <x:c r="J64" s="5" t="str">
        <x:f>IF(G64&gt;=70,"Excellent",IF(G64&gt;=60,"Very Good",IF(G64&gt;=50,"Good",IF(G64&gt;=40,"Fair","Needs Improvement"))))</x:f>
        <x:v>Excellent</x:v>
      </x:c>
      <x:c r="K64" s="6" t="n"/>
      <x:c r="L64" s="6" t="n"/>
      <x:c r="M64" s="6" t="n"/>
      <x:c r="N64" s="6" t="n"/>
      <x:c r="O64" s="10" t="n"/>
      <x:c r="P64" s="10" t="n"/>
    </x:row>
    <x:row r="65">
      <x:c r="A65" s="3" t="n">
        <x:v>8</x:v>
      </x:c>
      <x:c r="B65" s="4" t="inlineStr">
        <x:is>
          <x:t xml:space="preserve">Blessing Ibrahim</x:t>
        </x:is>
      </x:c>
      <x:c r="C65" s="5" t="inlineStr">
        <x:is>
          <x:t xml:space="preserve">Mathematics</x:t>
        </x:is>
      </x:c>
      <x:c r="D65" s="6" t="n">
        <x:v>6</x:v>
      </x:c>
      <x:c r="E65" s="6" t="n">
        <x:v>18</x:v>
      </x:c>
      <x:c r="F65" s="6" t="n">
        <x:v>56</x:v>
      </x:c>
      <x:c r="G65" s="6">
        <x:f>D65+E65+F65</x:f>
        <x:v>80</x:v>
      </x:c>
      <x:c r="H65" s="6">
        <x:f>1+SUMPRODUCT(($C$2:$C$271=C65)*($G$2:$G$271&gt;G65))</x:f>
        <x:v>3</x:v>
      </x:c>
      <x:c r="I65" s="7" t="str">
        <x:f>IF(G65&gt;=70,"A",IF(G65&gt;=60,"B",IF(G65&gt;=50,"C",IF(G65&gt;=40,"D","E"))))</x:f>
        <x:v>A</x:v>
      </x:c>
      <x:c r="J65" s="5" t="str">
        <x:f>IF(G65&gt;=70,"Excellent",IF(G65&gt;=60,"Very Good",IF(G65&gt;=50,"Good",IF(G65&gt;=40,"Fair","Needs Improvement"))))</x:f>
        <x:v>Excellent</x:v>
      </x:c>
      <x:c r="K65" s="8">
        <x:f>SUM(D65:D73)</x:f>
        <x:v>60</x:v>
      </x:c>
      <x:c r="L65" s="8">
        <x:f>SUM(E65:E73)</x:f>
        <x:v>141</x:v>
      </x:c>
      <x:c r="M65" s="8">
        <x:f>SUM(F65:F73)</x:f>
        <x:v>514</x:v>
      </x:c>
      <x:c r="N65" s="8">
        <x:f>SUM(G65:G73)</x:f>
        <x:v>715</x:v>
      </x:c>
      <x:c r="O65" s="9">
        <x:f>ROUND(AVERAGE(G65:G73),2)</x:f>
        <x:v>79.44</x:v>
      </x:c>
      <x:c r="P65" s="9">
        <x:f>ROUND(AVERAGE($G$2:$G$271),2)</x:f>
        <x:v>67.88</x:v>
      </x:c>
    </x:row>
    <x:row r="66">
      <x:c r="A66" s="7" t="n"/>
      <x:c r="B66" s="5" t="n"/>
      <x:c r="C66" s="5" t="inlineStr">
        <x:is>
          <x:t xml:space="preserve">English Studies</x:t>
        </x:is>
      </x:c>
      <x:c r="D66" s="6" t="n">
        <x:v>10</x:v>
      </x:c>
      <x:c r="E66" s="6" t="n">
        <x:v>14</x:v>
      </x:c>
      <x:c r="F66" s="6" t="n">
        <x:v>66</x:v>
      </x:c>
      <x:c r="G66" s="6">
        <x:f>D66+E66+F66</x:f>
        <x:v>90</x:v>
      </x:c>
      <x:c r="H66" s="6">
        <x:f>1+SUMPRODUCT(($C$2:$C$271=C66)*($G$2:$G$271&gt;G66))</x:f>
        <x:v>3</x:v>
      </x:c>
      <x:c r="I66" s="7" t="str">
        <x:f>IF(G66&gt;=70,"A",IF(G66&gt;=60,"B",IF(G66&gt;=50,"C",IF(G66&gt;=40,"D","E"))))</x:f>
        <x:v>A</x:v>
      </x:c>
      <x:c r="J66" s="5" t="str">
        <x:f>IF(G66&gt;=70,"Excellent",IF(G66&gt;=60,"Very Good",IF(G66&gt;=50,"Good",IF(G66&gt;=40,"Fair","Needs Improvement"))))</x:f>
        <x:v>Excellent</x:v>
      </x:c>
      <x:c r="K66" s="6" t="n"/>
      <x:c r="L66" s="6" t="n"/>
      <x:c r="M66" s="6" t="n"/>
      <x:c r="N66" s="6" t="n"/>
      <x:c r="O66" s="10" t="n"/>
      <x:c r="P66" s="10" t="n"/>
    </x:row>
    <x:row r="67">
      <x:c r="A67" s="7" t="n"/>
      <x:c r="B67" s="5" t="n"/>
      <x:c r="C67" s="5" t="inlineStr">
        <x:is>
          <x:t xml:space="preserve">Basic Science and Technology</x:t>
        </x:is>
      </x:c>
      <x:c r="D67" s="6" t="n">
        <x:v>6</x:v>
      </x:c>
      <x:c r="E67" s="6" t="n">
        <x:v>18</x:v>
      </x:c>
      <x:c r="F67" s="6" t="n">
        <x:v>50</x:v>
      </x:c>
      <x:c r="G67" s="6">
        <x:f>D67+E67+F67</x:f>
        <x:v>74</x:v>
      </x:c>
      <x:c r="H67" s="6">
        <x:f>1+SUMPRODUCT(($C$2:$C$271=C67)*($G$2:$G$271&gt;G67))</x:f>
        <x:v>13</x:v>
      </x:c>
      <x:c r="I67" s="7" t="str">
        <x:f>IF(G67&gt;=70,"A",IF(G67&gt;=60,"B",IF(G67&gt;=50,"C",IF(G67&gt;=40,"D","E"))))</x:f>
        <x:v>A</x:v>
      </x:c>
      <x:c r="J67" s="5" t="str">
        <x:f>IF(G67&gt;=70,"Excellent",IF(G67&gt;=60,"Very Good",IF(G67&gt;=50,"Good",IF(G67&gt;=40,"Fair","Needs Improvement"))))</x:f>
        <x:v>Excellent</x:v>
      </x:c>
      <x:c r="K67" s="6" t="n"/>
      <x:c r="L67" s="6" t="n"/>
      <x:c r="M67" s="6" t="n"/>
      <x:c r="N67" s="6" t="n"/>
      <x:c r="O67" s="10" t="n"/>
      <x:c r="P67" s="10" t="n"/>
    </x:row>
    <x:row r="68">
      <x:c r="A68" s="7" t="n"/>
      <x:c r="B68" s="5" t="n"/>
      <x:c r="C68" s="5" t="inlineStr">
        <x:is>
          <x:t xml:space="preserve">Pre-Vocational Studies</x:t>
        </x:is>
      </x:c>
      <x:c r="D68" s="6" t="n">
        <x:v>8</x:v>
      </x:c>
      <x:c r="E68" s="6" t="n">
        <x:v>14</x:v>
      </x:c>
      <x:c r="F68" s="6" t="n">
        <x:v>55</x:v>
      </x:c>
      <x:c r="G68" s="6">
        <x:f>D68+E68+F68</x:f>
        <x:v>77</x:v>
      </x:c>
      <x:c r="H68" s="6">
        <x:f>1+SUMPRODUCT(($C$2:$C$271=C68)*($G$2:$G$271&gt;G68))</x:f>
        <x:v>6</x:v>
      </x:c>
      <x:c r="I68" s="7" t="str">
        <x:f>IF(G68&gt;=70,"A",IF(G68&gt;=60,"B",IF(G68&gt;=50,"C",IF(G68&gt;=40,"D","E"))))</x:f>
        <x:v>A</x:v>
      </x:c>
      <x:c r="J68" s="5" t="str">
        <x:f>IF(G68&gt;=70,"Excellent",IF(G68&gt;=60,"Very Good",IF(G68&gt;=50,"Good",IF(G68&gt;=40,"Fair","Needs Improvement"))))</x:f>
        <x:v>Excellent</x:v>
      </x:c>
      <x:c r="K68" s="6" t="n"/>
      <x:c r="L68" s="6" t="n"/>
      <x:c r="M68" s="6" t="n"/>
      <x:c r="N68" s="6" t="n"/>
      <x:c r="O68" s="10" t="n"/>
      <x:c r="P68" s="10" t="n"/>
    </x:row>
    <x:row r="69">
      <x:c r="A69" s="7" t="n"/>
      <x:c r="B69" s="5" t="n"/>
      <x:c r="C69" s="5" t="inlineStr">
        <x:is>
          <x:t xml:space="preserve">National Value</x:t>
        </x:is>
      </x:c>
      <x:c r="D69" s="6" t="n">
        <x:v>6</x:v>
      </x:c>
      <x:c r="E69" s="6" t="n">
        <x:v>12</x:v>
      </x:c>
      <x:c r="F69" s="6" t="n">
        <x:v>62</x:v>
      </x:c>
      <x:c r="G69" s="6">
        <x:f>D69+E69+F69</x:f>
        <x:v>80</x:v>
      </x:c>
      <x:c r="H69" s="6">
        <x:f>1+SUMPRODUCT(($C$2:$C$271=C69)*($G$2:$G$271&gt;G69))</x:f>
        <x:v>7</x:v>
      </x:c>
      <x:c r="I69" s="7" t="str">
        <x:f>IF(G69&gt;=70,"A",IF(G69&gt;=60,"B",IF(G69&gt;=50,"C",IF(G69&gt;=40,"D","E"))))</x:f>
        <x:v>A</x:v>
      </x:c>
      <x:c r="J69" s="5" t="str">
        <x:f>IF(G69&gt;=70,"Excellent",IF(G69&gt;=60,"Very Good",IF(G69&gt;=50,"Good",IF(G69&gt;=40,"Fair","Needs Improvement"))))</x:f>
        <x:v>Excellent</x:v>
      </x:c>
      <x:c r="K69" s="6" t="n"/>
      <x:c r="L69" s="6" t="n"/>
      <x:c r="M69" s="6" t="n"/>
      <x:c r="N69" s="6" t="n"/>
      <x:c r="O69" s="10" t="n"/>
      <x:c r="P69" s="10" t="n"/>
    </x:row>
    <x:row r="70">
      <x:c r="A70" s="7" t="n"/>
      <x:c r="B70" s="5" t="n"/>
      <x:c r="C70" s="5" t="inlineStr">
        <x:is>
          <x:t xml:space="preserve">Business Studies</x:t>
        </x:is>
      </x:c>
      <x:c r="D70" s="6" t="n">
        <x:v>5</x:v>
      </x:c>
      <x:c r="E70" s="6" t="n">
        <x:v>20</x:v>
      </x:c>
      <x:c r="F70" s="6" t="n">
        <x:v>54</x:v>
      </x:c>
      <x:c r="G70" s="6">
        <x:f>D70+E70+F70</x:f>
        <x:v>79</x:v>
      </x:c>
      <x:c r="H70" s="6">
        <x:f>1+SUMPRODUCT(($C$2:$C$271=C70)*($G$2:$G$271&gt;G70))</x:f>
        <x:v>10</x:v>
      </x:c>
      <x:c r="I70" s="7" t="str">
        <x:f>IF(G70&gt;=70,"A",IF(G70&gt;=60,"B",IF(G70&gt;=50,"C",IF(G70&gt;=40,"D","E"))))</x:f>
        <x:v>A</x:v>
      </x:c>
      <x:c r="J70" s="5" t="str">
        <x:f>IF(G70&gt;=70,"Excellent",IF(G70&gt;=60,"Very Good",IF(G70&gt;=50,"Good",IF(G70&gt;=40,"Fair","Needs Improvement"))))</x:f>
        <x:v>Excellent</x:v>
      </x:c>
      <x:c r="K70" s="6" t="n"/>
      <x:c r="L70" s="6" t="n"/>
      <x:c r="M70" s="6" t="n"/>
      <x:c r="N70" s="6" t="n"/>
      <x:c r="O70" s="10" t="n"/>
      <x:c r="P70" s="10" t="n"/>
    </x:row>
    <x:row r="71">
      <x:c r="A71" s="7" t="n"/>
      <x:c r="B71" s="5" t="n"/>
      <x:c r="C71" s="5" t="inlineStr">
        <x:is>
          <x:t xml:space="preserve">Creative and Cultural Art</x:t>
        </x:is>
      </x:c>
      <x:c r="D71" s="6" t="n">
        <x:v>6</x:v>
      </x:c>
      <x:c r="E71" s="6" t="n">
        <x:v>16</x:v>
      </x:c>
      <x:c r="F71" s="6" t="n">
        <x:v>55</x:v>
      </x:c>
      <x:c r="G71" s="6">
        <x:f>D71+E71+F71</x:f>
        <x:v>77</x:v>
      </x:c>
      <x:c r="H71" s="6">
        <x:f>1+SUMPRODUCT(($C$2:$C$271=C71)*($G$2:$G$271&gt;G71))</x:f>
        <x:v>9</x:v>
      </x:c>
      <x:c r="I71" s="7" t="str">
        <x:f>IF(G71&gt;=70,"A",IF(G71&gt;=60,"B",IF(G71&gt;=50,"C",IF(G71&gt;=40,"D","E"))))</x:f>
        <x:v>A</x:v>
      </x:c>
      <x:c r="J71" s="5" t="str">
        <x:f>IF(G71&gt;=70,"Excellent",IF(G71&gt;=60,"Very Good",IF(G71&gt;=50,"Good",IF(G71&gt;=40,"Fair","Needs Improvement"))))</x:f>
        <x:v>Excellent</x:v>
      </x:c>
      <x:c r="K71" s="6" t="n"/>
      <x:c r="L71" s="6" t="n"/>
      <x:c r="M71" s="6" t="n"/>
      <x:c r="N71" s="6" t="n"/>
      <x:c r="O71" s="10" t="n"/>
      <x:c r="P71" s="10" t="n"/>
    </x:row>
    <x:row r="72">
      <x:c r="A72" s="7" t="n"/>
      <x:c r="B72" s="5" t="n"/>
      <x:c r="C72" s="5" t="inlineStr">
        <x:is>
          <x:t xml:space="preserve">Christian Religious Studies</x:t>
        </x:is>
      </x:c>
      <x:c r="D72" s="6" t="n">
        <x:v>8</x:v>
      </x:c>
      <x:c r="E72" s="6" t="n">
        <x:v>17</x:v>
      </x:c>
      <x:c r="F72" s="6" t="n">
        <x:v>59</x:v>
      </x:c>
      <x:c r="G72" s="6">
        <x:f>D72+E72+F72</x:f>
        <x:v>84</x:v>
      </x:c>
      <x:c r="H72" s="6">
        <x:f>1+SUMPRODUCT(($C$2:$C$271=C72)*($G$2:$G$271&gt;G72))</x:f>
        <x:v>7</x:v>
      </x:c>
      <x:c r="I72" s="7" t="str">
        <x:f>IF(G72&gt;=70,"A",IF(G72&gt;=60,"B",IF(G72&gt;=50,"C",IF(G72&gt;=40,"D","E"))))</x:f>
        <x:v>A</x:v>
      </x:c>
      <x:c r="J72" s="5" t="str">
        <x:f>IF(G72&gt;=70,"Excellent",IF(G72&gt;=60,"Very Good",IF(G72&gt;=50,"Good",IF(G72&gt;=40,"Fair","Needs Improvement"))))</x:f>
        <x:v>Excellent</x:v>
      </x:c>
      <x:c r="K72" s="6" t="n"/>
      <x:c r="L72" s="6" t="n"/>
      <x:c r="M72" s="6" t="n"/>
      <x:c r="N72" s="6" t="n"/>
      <x:c r="O72" s="10" t="n"/>
      <x:c r="P72" s="10" t="n"/>
    </x:row>
    <x:row r="73">
      <x:c r="A73" s="7" t="n"/>
      <x:c r="B73" s="5" t="n"/>
      <x:c r="C73" s="5" t="inlineStr">
        <x:is>
          <x:t xml:space="preserve">History Studies</x:t>
        </x:is>
      </x:c>
      <x:c r="D73" s="6" t="n">
        <x:v>5</x:v>
      </x:c>
      <x:c r="E73" s="6" t="n">
        <x:v>12</x:v>
      </x:c>
      <x:c r="F73" s="6" t="n">
        <x:v>57</x:v>
      </x:c>
      <x:c r="G73" s="6">
        <x:f>D73+E73+F73</x:f>
        <x:v>74</x:v>
      </x:c>
      <x:c r="H73" s="6">
        <x:f>1+SUMPRODUCT(($C$2:$C$271=C73)*($G$2:$G$271&gt;G73))</x:f>
        <x:v>14</x:v>
      </x:c>
      <x:c r="I73" s="7" t="str">
        <x:f>IF(G73&gt;=70,"A",IF(G73&gt;=60,"B",IF(G73&gt;=50,"C",IF(G73&gt;=40,"D","E"))))</x:f>
        <x:v>A</x:v>
      </x:c>
      <x:c r="J73" s="5" t="str">
        <x:f>IF(G73&gt;=70,"Excellent",IF(G73&gt;=60,"Very Good",IF(G73&gt;=50,"Good",IF(G73&gt;=40,"Fair","Needs Improvement"))))</x:f>
        <x:v>Excellent</x:v>
      </x:c>
      <x:c r="K73" s="6" t="n"/>
      <x:c r="L73" s="6" t="n"/>
      <x:c r="M73" s="6" t="n"/>
      <x:c r="N73" s="6" t="n"/>
      <x:c r="O73" s="10" t="n"/>
      <x:c r="P73" s="10" t="n"/>
    </x:row>
    <x:row r="74">
      <x:c r="A74" s="3" t="n">
        <x:v>9</x:v>
      </x:c>
      <x:c r="B74" s="4" t="inlineStr">
        <x:is>
          <x:t xml:space="preserve">Emmanuel Nwankwo</x:t>
        </x:is>
      </x:c>
      <x:c r="C74" s="5" t="inlineStr">
        <x:is>
          <x:t xml:space="preserve">Mathematics</x:t>
        </x:is>
      </x:c>
      <x:c r="D74" s="6" t="n">
        <x:v>4</x:v>
      </x:c>
      <x:c r="E74" s="6" t="n">
        <x:v>12</x:v>
      </x:c>
      <x:c r="F74" s="6" t="n">
        <x:v>38</x:v>
      </x:c>
      <x:c r="G74" s="6">
        <x:f>D74+E74+F74</x:f>
        <x:v>54</x:v>
      </x:c>
      <x:c r="H74" s="6">
        <x:f>1+SUMPRODUCT(($C$2:$C$271=C74)*($G$2:$G$271&gt;G74))</x:f>
        <x:v>22</x:v>
      </x:c>
      <x:c r="I74" s="7" t="str">
        <x:f>IF(G74&gt;=70,"A",IF(G74&gt;=60,"B",IF(G74&gt;=50,"C",IF(G74&gt;=40,"D","E"))))</x:f>
        <x:v>C</x:v>
      </x:c>
      <x:c r="J74" s="5" t="str">
        <x:f>IF(G74&gt;=70,"Excellent",IF(G74&gt;=60,"Very Good",IF(G74&gt;=50,"Good",IF(G74&gt;=40,"Fair","Needs Improvement"))))</x:f>
        <x:v>Good</x:v>
      </x:c>
      <x:c r="K74" s="8">
        <x:f>SUM(D74:D82)</x:f>
        <x:v>58</x:v>
      </x:c>
      <x:c r="L74" s="8">
        <x:f>SUM(E74:E82)</x:f>
        <x:v>111</x:v>
      </x:c>
      <x:c r="M74" s="8">
        <x:f>SUM(F74:F82)</x:f>
        <x:v>386</x:v>
      </x:c>
      <x:c r="N74" s="8">
        <x:f>SUM(G74:G82)</x:f>
        <x:v>555</x:v>
      </x:c>
      <x:c r="O74" s="9">
        <x:f>ROUND(AVERAGE(G74:G82),2)</x:f>
        <x:v>61.67</x:v>
      </x:c>
      <x:c r="P74" s="9">
        <x:f>ROUND(AVERAGE($G$2:$G$271),2)</x:f>
        <x:v>67.88</x:v>
      </x:c>
    </x:row>
    <x:row r="75">
      <x:c r="A75" s="7" t="n"/>
      <x:c r="B75" s="5" t="n"/>
      <x:c r="C75" s="5" t="inlineStr">
        <x:is>
          <x:t xml:space="preserve">English Studies</x:t>
        </x:is>
      </x:c>
      <x:c r="D75" s="6" t="n">
        <x:v>8</x:v>
      </x:c>
      <x:c r="E75" s="6" t="n">
        <x:v>15</x:v>
      </x:c>
      <x:c r="F75" s="6" t="n">
        <x:v>46</x:v>
      </x:c>
      <x:c r="G75" s="6">
        <x:f>D75+E75+F75</x:f>
        <x:v>69</x:v>
      </x:c>
      <x:c r="H75" s="6">
        <x:f>1+SUMPRODUCT(($C$2:$C$271=C75)*($G$2:$G$271&gt;G75))</x:f>
        <x:v>14</x:v>
      </x:c>
      <x:c r="I75" s="7" t="str">
        <x:f>IF(G75&gt;=70,"A",IF(G75&gt;=60,"B",IF(G75&gt;=50,"C",IF(G75&gt;=40,"D","E"))))</x:f>
        <x:v>B</x:v>
      </x:c>
      <x:c r="J75" s="5" t="str">
        <x:f>IF(G75&gt;=70,"Excellent",IF(G75&gt;=60,"Very Good",IF(G75&gt;=50,"Good",IF(G75&gt;=40,"Fair","Needs Improvement"))))</x:f>
        <x:v>Very Good</x:v>
      </x:c>
      <x:c r="K75" s="6" t="n"/>
      <x:c r="L75" s="6" t="n"/>
      <x:c r="M75" s="6" t="n"/>
      <x:c r="N75" s="6" t="n"/>
      <x:c r="O75" s="10" t="n"/>
      <x:c r="P75" s="10" t="n"/>
    </x:row>
    <x:row r="76">
      <x:c r="A76" s="7" t="n"/>
      <x:c r="B76" s="5" t="n"/>
      <x:c r="C76" s="5" t="inlineStr">
        <x:is>
          <x:t xml:space="preserve">Basic Science and Technology</x:t>
        </x:is>
      </x:c>
      <x:c r="D76" s="6" t="n">
        <x:v>5</x:v>
      </x:c>
      <x:c r="E76" s="6" t="n">
        <x:v>12</x:v>
      </x:c>
      <x:c r="F76" s="6" t="n">
        <x:v>56</x:v>
      </x:c>
      <x:c r="G76" s="6">
        <x:f>D76+E76+F76</x:f>
        <x:v>73</x:v>
      </x:c>
      <x:c r="H76" s="6">
        <x:f>1+SUMPRODUCT(($C$2:$C$271=C76)*($G$2:$G$271&gt;G76))</x:f>
        <x:v>14</x:v>
      </x:c>
      <x:c r="I76" s="7" t="str">
        <x:f>IF(G76&gt;=70,"A",IF(G76&gt;=60,"B",IF(G76&gt;=50,"C",IF(G76&gt;=40,"D","E"))))</x:f>
        <x:v>A</x:v>
      </x:c>
      <x:c r="J76" s="5" t="str">
        <x:f>IF(G76&gt;=70,"Excellent",IF(G76&gt;=60,"Very Good",IF(G76&gt;=50,"Good",IF(G76&gt;=40,"Fair","Needs Improvement"))))</x:f>
        <x:v>Excellent</x:v>
      </x:c>
      <x:c r="K76" s="6" t="n"/>
      <x:c r="L76" s="6" t="n"/>
      <x:c r="M76" s="6" t="n"/>
      <x:c r="N76" s="6" t="n"/>
      <x:c r="O76" s="10" t="n"/>
      <x:c r="P76" s="10" t="n"/>
    </x:row>
    <x:row r="77">
      <x:c r="A77" s="7" t="n"/>
      <x:c r="B77" s="5" t="n"/>
      <x:c r="C77" s="5" t="inlineStr">
        <x:is>
          <x:t xml:space="preserve">Pre-Vocational Studies</x:t>
        </x:is>
      </x:c>
      <x:c r="D77" s="6" t="n">
        <x:v>3</x:v>
      </x:c>
      <x:c r="E77" s="6" t="n">
        <x:v>16</x:v>
      </x:c>
      <x:c r="F77" s="6" t="n">
        <x:v>41</x:v>
      </x:c>
      <x:c r="G77" s="6">
        <x:f>D77+E77+F77</x:f>
        <x:v>60</x:v>
      </x:c>
      <x:c r="H77" s="6">
        <x:f>1+SUMPRODUCT(($C$2:$C$271=C77)*($G$2:$G$271&gt;G77))</x:f>
        <x:v>20</x:v>
      </x:c>
      <x:c r="I77" s="7" t="str">
        <x:f>IF(G77&gt;=70,"A",IF(G77&gt;=60,"B",IF(G77&gt;=50,"C",IF(G77&gt;=40,"D","E"))))</x:f>
        <x:v>B</x:v>
      </x:c>
      <x:c r="J77" s="5" t="str">
        <x:f>IF(G77&gt;=70,"Excellent",IF(G77&gt;=60,"Very Good",IF(G77&gt;=50,"Good",IF(G77&gt;=40,"Fair","Needs Improvement"))))</x:f>
        <x:v>Very Good</x:v>
      </x:c>
      <x:c r="K77" s="6" t="n"/>
      <x:c r="L77" s="6" t="n"/>
      <x:c r="M77" s="6" t="n"/>
      <x:c r="N77" s="6" t="n"/>
      <x:c r="O77" s="10" t="n"/>
      <x:c r="P77" s="10" t="n"/>
    </x:row>
    <x:row r="78">
      <x:c r="A78" s="7" t="n"/>
      <x:c r="B78" s="5" t="n"/>
      <x:c r="C78" s="5" t="inlineStr">
        <x:is>
          <x:t xml:space="preserve">National Value</x:t>
        </x:is>
      </x:c>
      <x:c r="D78" s="6" t="n">
        <x:v>10</x:v>
      </x:c>
      <x:c r="E78" s="6" t="n">
        <x:v>15</x:v>
      </x:c>
      <x:c r="F78" s="6" t="n">
        <x:v>46</x:v>
      </x:c>
      <x:c r="G78" s="6">
        <x:f>D78+E78+F78</x:f>
        <x:v>71</x:v>
      </x:c>
      <x:c r="H78" s="6">
        <x:f>1+SUMPRODUCT(($C$2:$C$271=C78)*($G$2:$G$271&gt;G78))</x:f>
        <x:v>16</x:v>
      </x:c>
      <x:c r="I78" s="7" t="str">
        <x:f>IF(G78&gt;=70,"A",IF(G78&gt;=60,"B",IF(G78&gt;=50,"C",IF(G78&gt;=40,"D","E"))))</x:f>
        <x:v>A</x:v>
      </x:c>
      <x:c r="J78" s="5" t="str">
        <x:f>IF(G78&gt;=70,"Excellent",IF(G78&gt;=60,"Very Good",IF(G78&gt;=50,"Good",IF(G78&gt;=40,"Fair","Needs Improvement"))))</x:f>
        <x:v>Excellent</x:v>
      </x:c>
      <x:c r="K78" s="6" t="n"/>
      <x:c r="L78" s="6" t="n"/>
      <x:c r="M78" s="6" t="n"/>
      <x:c r="N78" s="6" t="n"/>
      <x:c r="O78" s="10" t="n"/>
      <x:c r="P78" s="10" t="n"/>
    </x:row>
    <x:row r="79">
      <x:c r="A79" s="7" t="n"/>
      <x:c r="B79" s="5" t="n"/>
      <x:c r="C79" s="5" t="inlineStr">
        <x:is>
          <x:t xml:space="preserve">Business Studies</x:t>
        </x:is>
      </x:c>
      <x:c r="D79" s="6" t="n">
        <x:v>6</x:v>
      </x:c>
      <x:c r="E79" s="6" t="n">
        <x:v>12</x:v>
      </x:c>
      <x:c r="F79" s="6" t="n">
        <x:v>29</x:v>
      </x:c>
      <x:c r="G79" s="6">
        <x:f>D79+E79+F79</x:f>
        <x:v>47</x:v>
      </x:c>
      <x:c r="H79" s="6">
        <x:f>1+SUMPRODUCT(($C$2:$C$271=C79)*($G$2:$G$271&gt;G79))</x:f>
        <x:v>28</x:v>
      </x:c>
      <x:c r="I79" s="7" t="str">
        <x:f>IF(G79&gt;=70,"A",IF(G79&gt;=60,"B",IF(G79&gt;=50,"C",IF(G79&gt;=40,"D","E"))))</x:f>
        <x:v>D</x:v>
      </x:c>
      <x:c r="J79" s="5" t="str">
        <x:f>IF(G79&gt;=70,"Excellent",IF(G79&gt;=60,"Very Good",IF(G79&gt;=50,"Good",IF(G79&gt;=40,"Fair","Needs Improvement"))))</x:f>
        <x:v>Fair</x:v>
      </x:c>
      <x:c r="K79" s="6" t="n"/>
      <x:c r="L79" s="6" t="n"/>
      <x:c r="M79" s="6" t="n"/>
      <x:c r="N79" s="6" t="n"/>
      <x:c r="O79" s="10" t="n"/>
      <x:c r="P79" s="10" t="n"/>
    </x:row>
    <x:row r="80">
      <x:c r="A80" s="7" t="n"/>
      <x:c r="B80" s="5" t="n"/>
      <x:c r="C80" s="5" t="inlineStr">
        <x:is>
          <x:t xml:space="preserve">Creative and Cultural Art</x:t>
        </x:is>
      </x:c>
      <x:c r="D80" s="6" t="n">
        <x:v>5</x:v>
      </x:c>
      <x:c r="E80" s="6" t="n">
        <x:v>9</x:v>
      </x:c>
      <x:c r="F80" s="6" t="n">
        <x:v>57</x:v>
      </x:c>
      <x:c r="G80" s="6">
        <x:f>D80+E80+F80</x:f>
        <x:v>71</x:v>
      </x:c>
      <x:c r="H80" s="6">
        <x:f>1+SUMPRODUCT(($C$2:$C$271=C80)*($G$2:$G$271&gt;G80))</x:f>
        <x:v>14</x:v>
      </x:c>
      <x:c r="I80" s="7" t="str">
        <x:f>IF(G80&gt;=70,"A",IF(G80&gt;=60,"B",IF(G80&gt;=50,"C",IF(G80&gt;=40,"D","E"))))</x:f>
        <x:v>A</x:v>
      </x:c>
      <x:c r="J80" s="5" t="str">
        <x:f>IF(G80&gt;=70,"Excellent",IF(G80&gt;=60,"Very Good",IF(G80&gt;=50,"Good",IF(G80&gt;=40,"Fair","Needs Improvement"))))</x:f>
        <x:v>Excellent</x:v>
      </x:c>
      <x:c r="K80" s="6" t="n"/>
      <x:c r="L80" s="6" t="n"/>
      <x:c r="M80" s="6" t="n"/>
      <x:c r="N80" s="6" t="n"/>
      <x:c r="O80" s="10" t="n"/>
      <x:c r="P80" s="10" t="n"/>
    </x:row>
    <x:row r="81">
      <x:c r="A81" s="7" t="n"/>
      <x:c r="B81" s="5" t="n"/>
      <x:c r="C81" s="5" t="inlineStr">
        <x:is>
          <x:t xml:space="preserve">Christian Religious Studies</x:t>
        </x:is>
      </x:c>
      <x:c r="D81" s="6" t="n">
        <x:v>10</x:v>
      </x:c>
      <x:c r="E81" s="6" t="n">
        <x:v>11</x:v>
      </x:c>
      <x:c r="F81" s="6" t="n">
        <x:v>42</x:v>
      </x:c>
      <x:c r="G81" s="6">
        <x:f>D81+E81+F81</x:f>
        <x:v>63</x:v>
      </x:c>
      <x:c r="H81" s="6">
        <x:f>1+SUMPRODUCT(($C$2:$C$271=C81)*($G$2:$G$271&gt;G81))</x:f>
        <x:v>21</x:v>
      </x:c>
      <x:c r="I81" s="7" t="str">
        <x:f>IF(G81&gt;=70,"A",IF(G81&gt;=60,"B",IF(G81&gt;=50,"C",IF(G81&gt;=40,"D","E"))))</x:f>
        <x:v>B</x:v>
      </x:c>
      <x:c r="J81" s="5" t="str">
        <x:f>IF(G81&gt;=70,"Excellent",IF(G81&gt;=60,"Very Good",IF(G81&gt;=50,"Good",IF(G81&gt;=40,"Fair","Needs Improvement"))))</x:f>
        <x:v>Very Good</x:v>
      </x:c>
      <x:c r="K81" s="6" t="n"/>
      <x:c r="L81" s="6" t="n"/>
      <x:c r="M81" s="6" t="n"/>
      <x:c r="N81" s="6" t="n"/>
      <x:c r="O81" s="10" t="n"/>
      <x:c r="P81" s="10" t="n"/>
    </x:row>
    <x:row r="82">
      <x:c r="A82" s="7" t="n"/>
      <x:c r="B82" s="5" t="n"/>
      <x:c r="C82" s="5" t="inlineStr">
        <x:is>
          <x:t xml:space="preserve">History Studies</x:t>
        </x:is>
      </x:c>
      <x:c r="D82" s="6" t="n">
        <x:v>7</x:v>
      </x:c>
      <x:c r="E82" s="6" t="n">
        <x:v>9</x:v>
      </x:c>
      <x:c r="F82" s="6" t="n">
        <x:v>31</x:v>
      </x:c>
      <x:c r="G82" s="6">
        <x:f>D82+E82+F82</x:f>
        <x:v>47</x:v>
      </x:c>
      <x:c r="H82" s="6">
        <x:f>1+SUMPRODUCT(($C$2:$C$271=C82)*($G$2:$G$271&gt;G82))</x:f>
        <x:v>27</x:v>
      </x:c>
      <x:c r="I82" s="7" t="str">
        <x:f>IF(G82&gt;=70,"A",IF(G82&gt;=60,"B",IF(G82&gt;=50,"C",IF(G82&gt;=40,"D","E"))))</x:f>
        <x:v>D</x:v>
      </x:c>
      <x:c r="J82" s="5" t="str">
        <x:f>IF(G82&gt;=70,"Excellent",IF(G82&gt;=60,"Very Good",IF(G82&gt;=50,"Good",IF(G82&gt;=40,"Fair","Needs Improvement"))))</x:f>
        <x:v>Fair</x:v>
      </x:c>
      <x:c r="K82" s="6" t="n"/>
      <x:c r="L82" s="6" t="n"/>
      <x:c r="M82" s="6" t="n"/>
      <x:c r="N82" s="6" t="n"/>
      <x:c r="O82" s="10" t="n"/>
      <x:c r="P82" s="10" t="n"/>
    </x:row>
    <x:row r="83">
      <x:c r="A83" s="3" t="n">
        <x:v>10</x:v>
      </x:c>
      <x:c r="B83" s="4" t="inlineStr">
        <x:is>
          <x:t xml:space="preserve">Faith Adebayo</x:t>
        </x:is>
      </x:c>
      <x:c r="C83" s="5" t="inlineStr">
        <x:is>
          <x:t xml:space="preserve">Mathematics</x:t>
        </x:is>
      </x:c>
      <x:c r="D83" s="6" t="n">
        <x:v>6</x:v>
      </x:c>
      <x:c r="E83" s="6" t="n">
        <x:v>14</x:v>
      </x:c>
      <x:c r="F83" s="6" t="n">
        <x:v>35</x:v>
      </x:c>
      <x:c r="G83" s="6">
        <x:f>D83+E83+F83</x:f>
        <x:v>55</x:v>
      </x:c>
      <x:c r="H83" s="6">
        <x:f>1+SUMPRODUCT(($C$2:$C$271=C83)*($G$2:$G$271&gt;G83))</x:f>
        <x:v>21</x:v>
      </x:c>
      <x:c r="I83" s="7" t="str">
        <x:f>IF(G83&gt;=70,"A",IF(G83&gt;=60,"B",IF(G83&gt;=50,"C",IF(G83&gt;=40,"D","E"))))</x:f>
        <x:v>C</x:v>
      </x:c>
      <x:c r="J83" s="5" t="str">
        <x:f>IF(G83&gt;=70,"Excellent",IF(G83&gt;=60,"Very Good",IF(G83&gt;=50,"Good",IF(G83&gt;=40,"Fair","Needs Improvement"))))</x:f>
        <x:v>Good</x:v>
      </x:c>
      <x:c r="K83" s="8">
        <x:f>SUM(D83:D91)</x:f>
        <x:v>53</x:v>
      </x:c>
      <x:c r="L83" s="8">
        <x:f>SUM(E83:E91)</x:f>
        <x:v>117</x:v>
      </x:c>
      <x:c r="M83" s="8">
        <x:f>SUM(F83:F91)</x:f>
        <x:v>381</x:v>
      </x:c>
      <x:c r="N83" s="8">
        <x:f>SUM(G83:G91)</x:f>
        <x:v>551</x:v>
      </x:c>
      <x:c r="O83" s="9">
        <x:f>ROUND(AVERAGE(G83:G91),2)</x:f>
        <x:v>61.22</x:v>
      </x:c>
      <x:c r="P83" s="9">
        <x:f>ROUND(AVERAGE($G$2:$G$271),2)</x:f>
        <x:v>67.88</x:v>
      </x:c>
    </x:row>
    <x:row r="84">
      <x:c r="A84" s="7" t="n"/>
      <x:c r="B84" s="5" t="n"/>
      <x:c r="C84" s="5" t="inlineStr">
        <x:is>
          <x:t xml:space="preserve">English Studies</x:t>
        </x:is>
      </x:c>
      <x:c r="D84" s="6" t="n">
        <x:v>5</x:v>
      </x:c>
      <x:c r="E84" s="6" t="n">
        <x:v>15</x:v>
      </x:c>
      <x:c r="F84" s="6" t="n">
        <x:v>30</x:v>
      </x:c>
      <x:c r="G84" s="6">
        <x:f>D84+E84+F84</x:f>
        <x:v>50</x:v>
      </x:c>
      <x:c r="H84" s="6">
        <x:f>1+SUMPRODUCT(($C$2:$C$271=C84)*($G$2:$G$271&gt;G84))</x:f>
        <x:v>26</x:v>
      </x:c>
      <x:c r="I84" s="7" t="str">
        <x:f>IF(G84&gt;=70,"A",IF(G84&gt;=60,"B",IF(G84&gt;=50,"C",IF(G84&gt;=40,"D","E"))))</x:f>
        <x:v>C</x:v>
      </x:c>
      <x:c r="J84" s="5" t="str">
        <x:f>IF(G84&gt;=70,"Excellent",IF(G84&gt;=60,"Very Good",IF(G84&gt;=50,"Good",IF(G84&gt;=40,"Fair","Needs Improvement"))))</x:f>
        <x:v>Good</x:v>
      </x:c>
      <x:c r="K84" s="6" t="n"/>
      <x:c r="L84" s="6" t="n"/>
      <x:c r="M84" s="6" t="n"/>
      <x:c r="N84" s="6" t="n"/>
      <x:c r="O84" s="10" t="n"/>
      <x:c r="P84" s="10" t="n"/>
    </x:row>
    <x:row r="85">
      <x:c r="A85" s="7" t="n"/>
      <x:c r="B85" s="5" t="n"/>
      <x:c r="C85" s="5" t="inlineStr">
        <x:is>
          <x:t xml:space="preserve">Basic Science and Technology</x:t>
        </x:is>
      </x:c>
      <x:c r="D85" s="6" t="n">
        <x:v>6</x:v>
      </x:c>
      <x:c r="E85" s="6" t="n">
        <x:v>13</x:v>
      </x:c>
      <x:c r="F85" s="6" t="n">
        <x:v>56</x:v>
      </x:c>
      <x:c r="G85" s="6">
        <x:f>D85+E85+F85</x:f>
        <x:v>75</x:v>
      </x:c>
      <x:c r="H85" s="6">
        <x:f>1+SUMPRODUCT(($C$2:$C$271=C85)*($G$2:$G$271&gt;G85))</x:f>
        <x:v>12</x:v>
      </x:c>
      <x:c r="I85" s="7" t="str">
        <x:f>IF(G85&gt;=70,"A",IF(G85&gt;=60,"B",IF(G85&gt;=50,"C",IF(G85&gt;=40,"D","E"))))</x:f>
        <x:v>A</x:v>
      </x:c>
      <x:c r="J85" s="5" t="str">
        <x:f>IF(G85&gt;=70,"Excellent",IF(G85&gt;=60,"Very Good",IF(G85&gt;=50,"Good",IF(G85&gt;=40,"Fair","Needs Improvement"))))</x:f>
        <x:v>Excellent</x:v>
      </x:c>
      <x:c r="K85" s="6" t="n"/>
      <x:c r="L85" s="6" t="n"/>
      <x:c r="M85" s="6" t="n"/>
      <x:c r="N85" s="6" t="n"/>
      <x:c r="O85" s="10" t="n"/>
      <x:c r="P85" s="10" t="n"/>
    </x:row>
    <x:row r="86">
      <x:c r="A86" s="7" t="n"/>
      <x:c r="B86" s="5" t="n"/>
      <x:c r="C86" s="5" t="inlineStr">
        <x:is>
          <x:t xml:space="preserve">Pre-Vocational Studies</x:t>
        </x:is>
      </x:c>
      <x:c r="D86" s="6" t="n">
        <x:v>4</x:v>
      </x:c>
      <x:c r="E86" s="6" t="n">
        <x:v>11</x:v>
      </x:c>
      <x:c r="F86" s="6" t="n">
        <x:v>43</x:v>
      </x:c>
      <x:c r="G86" s="6">
        <x:f>D86+E86+F86</x:f>
        <x:v>58</x:v>
      </x:c>
      <x:c r="H86" s="6">
        <x:f>1+SUMPRODUCT(($C$2:$C$271=C86)*($G$2:$G$271&gt;G86))</x:f>
        <x:v>21</x:v>
      </x:c>
      <x:c r="I86" s="7" t="str">
        <x:f>IF(G86&gt;=70,"A",IF(G86&gt;=60,"B",IF(G86&gt;=50,"C",IF(G86&gt;=40,"D","E"))))</x:f>
        <x:v>C</x:v>
      </x:c>
      <x:c r="J86" s="5" t="str">
        <x:f>IF(G86&gt;=70,"Excellent",IF(G86&gt;=60,"Very Good",IF(G86&gt;=50,"Good",IF(G86&gt;=40,"Fair","Needs Improvement"))))</x:f>
        <x:v>Good</x:v>
      </x:c>
      <x:c r="K86" s="6" t="n"/>
      <x:c r="L86" s="6" t="n"/>
      <x:c r="M86" s="6" t="n"/>
      <x:c r="N86" s="6" t="n"/>
      <x:c r="O86" s="10" t="n"/>
      <x:c r="P86" s="10" t="n"/>
    </x:row>
    <x:row r="87">
      <x:c r="A87" s="7" t="n"/>
      <x:c r="B87" s="5" t="n"/>
      <x:c r="C87" s="5" t="inlineStr">
        <x:is>
          <x:t xml:space="preserve">National Value</x:t>
        </x:is>
      </x:c>
      <x:c r="D87" s="6" t="n">
        <x:v>9</x:v>
      </x:c>
      <x:c r="E87" s="6" t="n">
        <x:v>18</x:v>
      </x:c>
      <x:c r="F87" s="6" t="n">
        <x:v>42</x:v>
      </x:c>
      <x:c r="G87" s="6">
        <x:f>D87+E87+F87</x:f>
        <x:v>69</x:v>
      </x:c>
      <x:c r="H87" s="6">
        <x:f>1+SUMPRODUCT(($C$2:$C$271=C87)*($G$2:$G$271&gt;G87))</x:f>
        <x:v>18</x:v>
      </x:c>
      <x:c r="I87" s="7" t="str">
        <x:f>IF(G87&gt;=70,"A",IF(G87&gt;=60,"B",IF(G87&gt;=50,"C",IF(G87&gt;=40,"D","E"))))</x:f>
        <x:v>B</x:v>
      </x:c>
      <x:c r="J87" s="5" t="str">
        <x:f>IF(G87&gt;=70,"Excellent",IF(G87&gt;=60,"Very Good",IF(G87&gt;=50,"Good",IF(G87&gt;=40,"Fair","Needs Improvement"))))</x:f>
        <x:v>Very Good</x:v>
      </x:c>
      <x:c r="K87" s="6" t="n"/>
      <x:c r="L87" s="6" t="n"/>
      <x:c r="M87" s="6" t="n"/>
      <x:c r="N87" s="6" t="n"/>
      <x:c r="O87" s="10" t="n"/>
      <x:c r="P87" s="10" t="n"/>
    </x:row>
    <x:row r="88">
      <x:c r="A88" s="7" t="n"/>
      <x:c r="B88" s="5" t="n"/>
      <x:c r="C88" s="5" t="inlineStr">
        <x:is>
          <x:t xml:space="preserve">Business Studies</x:t>
        </x:is>
      </x:c>
      <x:c r="D88" s="6" t="n">
        <x:v>5</x:v>
      </x:c>
      <x:c r="E88" s="6" t="n">
        <x:v>8</x:v>
      </x:c>
      <x:c r="F88" s="6" t="n">
        <x:v>49</x:v>
      </x:c>
      <x:c r="G88" s="6">
        <x:f>D88+E88+F88</x:f>
        <x:v>62</x:v>
      </x:c>
      <x:c r="H88" s="6">
        <x:f>1+SUMPRODUCT(($C$2:$C$271=C88)*($G$2:$G$271&gt;G88))</x:f>
        <x:v>19</x:v>
      </x:c>
      <x:c r="I88" s="7" t="str">
        <x:f>IF(G88&gt;=70,"A",IF(G88&gt;=60,"B",IF(G88&gt;=50,"C",IF(G88&gt;=40,"D","E"))))</x:f>
        <x:v>B</x:v>
      </x:c>
      <x:c r="J88" s="5" t="str">
        <x:f>IF(G88&gt;=70,"Excellent",IF(G88&gt;=60,"Very Good",IF(G88&gt;=50,"Good",IF(G88&gt;=40,"Fair","Needs Improvement"))))</x:f>
        <x:v>Very Good</x:v>
      </x:c>
      <x:c r="K88" s="6" t="n"/>
      <x:c r="L88" s="6" t="n"/>
      <x:c r="M88" s="6" t="n"/>
      <x:c r="N88" s="6" t="n"/>
      <x:c r="O88" s="10" t="n"/>
      <x:c r="P88" s="10" t="n"/>
    </x:row>
    <x:row r="89">
      <x:c r="A89" s="7" t="n"/>
      <x:c r="B89" s="5" t="n"/>
      <x:c r="C89" s="5" t="inlineStr">
        <x:is>
          <x:t xml:space="preserve">Creative and Cultural Art</x:t>
        </x:is>
      </x:c>
      <x:c r="D89" s="6" t="n">
        <x:v>6</x:v>
      </x:c>
      <x:c r="E89" s="6" t="n">
        <x:v>15</x:v>
      </x:c>
      <x:c r="F89" s="6" t="n">
        <x:v>44</x:v>
      </x:c>
      <x:c r="G89" s="6">
        <x:f>D89+E89+F89</x:f>
        <x:v>65</x:v>
      </x:c>
      <x:c r="H89" s="6">
        <x:f>1+SUMPRODUCT(($C$2:$C$271=C89)*($G$2:$G$271&gt;G89))</x:f>
        <x:v>21</x:v>
      </x:c>
      <x:c r="I89" s="7" t="str">
        <x:f>IF(G89&gt;=70,"A",IF(G89&gt;=60,"B",IF(G89&gt;=50,"C",IF(G89&gt;=40,"D","E"))))</x:f>
        <x:v>B</x:v>
      </x:c>
      <x:c r="J89" s="5" t="str">
        <x:f>IF(G89&gt;=70,"Excellent",IF(G89&gt;=60,"Very Good",IF(G89&gt;=50,"Good",IF(G89&gt;=40,"Fair","Needs Improvement"))))</x:f>
        <x:v>Very Good</x:v>
      </x:c>
      <x:c r="K89" s="6" t="n"/>
      <x:c r="L89" s="6" t="n"/>
      <x:c r="M89" s="6" t="n"/>
      <x:c r="N89" s="6" t="n"/>
      <x:c r="O89" s="10" t="n"/>
      <x:c r="P89" s="10" t="n"/>
    </x:row>
    <x:row r="90">
      <x:c r="A90" s="7" t="n"/>
      <x:c r="B90" s="5" t="n"/>
      <x:c r="C90" s="5" t="inlineStr">
        <x:is>
          <x:t xml:space="preserve">Christian Religious Studies</x:t>
        </x:is>
      </x:c>
      <x:c r="D90" s="6" t="n">
        <x:v>7</x:v>
      </x:c>
      <x:c r="E90" s="6" t="n">
        <x:v>9</x:v>
      </x:c>
      <x:c r="F90" s="6" t="n">
        <x:v>34</x:v>
      </x:c>
      <x:c r="G90" s="6">
        <x:f>D90+E90+F90</x:f>
        <x:v>50</x:v>
      </x:c>
      <x:c r="H90" s="6">
        <x:f>1+SUMPRODUCT(($C$2:$C$271=C90)*($G$2:$G$271&gt;G90))</x:f>
        <x:v>26</x:v>
      </x:c>
      <x:c r="I90" s="7" t="str">
        <x:f>IF(G90&gt;=70,"A",IF(G90&gt;=60,"B",IF(G90&gt;=50,"C",IF(G90&gt;=40,"D","E"))))</x:f>
        <x:v>C</x:v>
      </x:c>
      <x:c r="J90" s="5" t="str">
        <x:f>IF(G90&gt;=70,"Excellent",IF(G90&gt;=60,"Very Good",IF(G90&gt;=50,"Good",IF(G90&gt;=40,"Fair","Needs Improvement"))))</x:f>
        <x:v>Good</x:v>
      </x:c>
      <x:c r="K90" s="6" t="n"/>
      <x:c r="L90" s="6" t="n"/>
      <x:c r="M90" s="6" t="n"/>
      <x:c r="N90" s="6" t="n"/>
      <x:c r="O90" s="10" t="n"/>
      <x:c r="P90" s="10" t="n"/>
    </x:row>
    <x:row r="91">
      <x:c r="A91" s="7" t="n"/>
      <x:c r="B91" s="5" t="n"/>
      <x:c r="C91" s="5" t="inlineStr">
        <x:is>
          <x:t xml:space="preserve">History Studies</x:t>
        </x:is>
      </x:c>
      <x:c r="D91" s="6" t="n">
        <x:v>5</x:v>
      </x:c>
      <x:c r="E91" s="6" t="n">
        <x:v>14</x:v>
      </x:c>
      <x:c r="F91" s="6" t="n">
        <x:v>48</x:v>
      </x:c>
      <x:c r="G91" s="6">
        <x:f>D91+E91+F91</x:f>
        <x:v>67</x:v>
      </x:c>
      <x:c r="H91" s="6">
        <x:f>1+SUMPRODUCT(($C$2:$C$271=C91)*($G$2:$G$271&gt;G91))</x:f>
        <x:v>18</x:v>
      </x:c>
      <x:c r="I91" s="7" t="str">
        <x:f>IF(G91&gt;=70,"A",IF(G91&gt;=60,"B",IF(G91&gt;=50,"C",IF(G91&gt;=40,"D","E"))))</x:f>
        <x:v>B</x:v>
      </x:c>
      <x:c r="J91" s="5" t="str">
        <x:f>IF(G91&gt;=70,"Excellent",IF(G91&gt;=60,"Very Good",IF(G91&gt;=50,"Good",IF(G91&gt;=40,"Fair","Needs Improvement"))))</x:f>
        <x:v>Very Good</x:v>
      </x:c>
      <x:c r="K91" s="6" t="n"/>
      <x:c r="L91" s="6" t="n"/>
      <x:c r="M91" s="6" t="n"/>
      <x:c r="N91" s="6" t="n"/>
      <x:c r="O91" s="10" t="n"/>
      <x:c r="P91" s="10" t="n"/>
    </x:row>
    <x:row r="92">
      <x:c r="A92" s="3" t="n">
        <x:v>11</x:v>
      </x:c>
      <x:c r="B92" s="4" t="inlineStr">
        <x:is>
          <x:t xml:space="preserve">Joshua Okafor</x:t>
        </x:is>
      </x:c>
      <x:c r="C92" s="5" t="inlineStr">
        <x:is>
          <x:t xml:space="preserve">Mathematics</x:t>
        </x:is>
      </x:c>
      <x:c r="D92" s="6" t="n">
        <x:v>2</x:v>
      </x:c>
      <x:c r="E92" s="6" t="n">
        <x:v>4</x:v>
      </x:c>
      <x:c r="F92" s="6" t="n">
        <x:v>28</x:v>
      </x:c>
      <x:c r="G92" s="6">
        <x:f>D92+E92+F92</x:f>
        <x:v>34</x:v>
      </x:c>
      <x:c r="H92" s="6">
        <x:f>1+SUMPRODUCT(($C$2:$C$271=C92)*($G$2:$G$271&gt;G92))</x:f>
        <x:v>30</x:v>
      </x:c>
      <x:c r="I92" s="7" t="str">
        <x:f>IF(G92&gt;=70,"A",IF(G92&gt;=60,"B",IF(G92&gt;=50,"C",IF(G92&gt;=40,"D","E"))))</x:f>
        <x:v>E</x:v>
      </x:c>
      <x:c r="J92" s="5" t="str">
        <x:f>IF(G92&gt;=70,"Excellent",IF(G92&gt;=60,"Very Good",IF(G92&gt;=50,"Good",IF(G92&gt;=40,"Fair","Needs Improvement"))))</x:f>
        <x:v>Needs Improvement</x:v>
      </x:c>
      <x:c r="K92" s="8">
        <x:f>SUM(D92:D100)</x:f>
        <x:v>32</x:v>
      </x:c>
      <x:c r="L92" s="8">
        <x:f>SUM(E92:E100)</x:f>
        <x:v>97</x:v>
      </x:c>
      <x:c r="M92" s="8">
        <x:f>SUM(F92:F100)</x:f>
        <x:v>238</x:v>
      </x:c>
      <x:c r="N92" s="8">
        <x:f>SUM(G92:G100)</x:f>
        <x:v>367</x:v>
      </x:c>
      <x:c r="O92" s="9">
        <x:f>ROUND(AVERAGE(G92:G100),2)</x:f>
        <x:v>40.78</x:v>
      </x:c>
      <x:c r="P92" s="9">
        <x:f>ROUND(AVERAGE($G$2:$G$271),2)</x:f>
        <x:v>67.88</x:v>
      </x:c>
    </x:row>
    <x:row r="93">
      <x:c r="A93" s="7" t="n"/>
      <x:c r="B93" s="5" t="n"/>
      <x:c r="C93" s="5" t="inlineStr">
        <x:is>
          <x:t xml:space="preserve">English Studies</x:t>
        </x:is>
      </x:c>
      <x:c r="D93" s="6" t="n">
        <x:v>5</x:v>
      </x:c>
      <x:c r="E93" s="6" t="n">
        <x:v>14</x:v>
      </x:c>
      <x:c r="F93" s="6" t="n">
        <x:v>32</x:v>
      </x:c>
      <x:c r="G93" s="6">
        <x:f>D93+E93+F93</x:f>
        <x:v>51</x:v>
      </x:c>
      <x:c r="H93" s="6">
        <x:f>1+SUMPRODUCT(($C$2:$C$271=C93)*($G$2:$G$271&gt;G93))</x:f>
        <x:v>25</x:v>
      </x:c>
      <x:c r="I93" s="7" t="str">
        <x:f>IF(G93&gt;=70,"A",IF(G93&gt;=60,"B",IF(G93&gt;=50,"C",IF(G93&gt;=40,"D","E"))))</x:f>
        <x:v>C</x:v>
      </x:c>
      <x:c r="J93" s="5" t="str">
        <x:f>IF(G93&gt;=70,"Excellent",IF(G93&gt;=60,"Very Good",IF(G93&gt;=50,"Good",IF(G93&gt;=40,"Fair","Needs Improvement"))))</x:f>
        <x:v>Good</x:v>
      </x:c>
      <x:c r="K93" s="6" t="n"/>
      <x:c r="L93" s="6" t="n"/>
      <x:c r="M93" s="6" t="n"/>
      <x:c r="N93" s="6" t="n"/>
      <x:c r="O93" s="10" t="n"/>
      <x:c r="P93" s="10" t="n"/>
    </x:row>
    <x:row r="94">
      <x:c r="A94" s="7" t="n"/>
      <x:c r="B94" s="5" t="n"/>
      <x:c r="C94" s="5" t="inlineStr">
        <x:is>
          <x:t xml:space="preserve">Basic Science and Technology</x:t>
        </x:is>
      </x:c>
      <x:c r="D94" s="6" t="n">
        <x:v>6</x:v>
      </x:c>
      <x:c r="E94" s="6" t="n">
        <x:v>12</x:v>
      </x:c>
      <x:c r="F94" s="6" t="n">
        <x:v>23</x:v>
      </x:c>
      <x:c r="G94" s="6">
        <x:f>D94+E94+F94</x:f>
        <x:v>41</x:v>
      </x:c>
      <x:c r="H94" s="6">
        <x:f>1+SUMPRODUCT(($C$2:$C$271=C94)*($G$2:$G$271&gt;G94))</x:f>
        <x:v>29</x:v>
      </x:c>
      <x:c r="I94" s="7" t="str">
        <x:f>IF(G94&gt;=70,"A",IF(G94&gt;=60,"B",IF(G94&gt;=50,"C",IF(G94&gt;=40,"D","E"))))</x:f>
        <x:v>D</x:v>
      </x:c>
      <x:c r="J94" s="5" t="str">
        <x:f>IF(G94&gt;=70,"Excellent",IF(G94&gt;=60,"Very Good",IF(G94&gt;=50,"Good",IF(G94&gt;=40,"Fair","Needs Improvement"))))</x:f>
        <x:v>Fair</x:v>
      </x:c>
      <x:c r="K94" s="6" t="n"/>
      <x:c r="L94" s="6" t="n"/>
      <x:c r="M94" s="6" t="n"/>
      <x:c r="N94" s="6" t="n"/>
      <x:c r="O94" s="10" t="n"/>
      <x:c r="P94" s="10" t="n"/>
    </x:row>
    <x:row r="95">
      <x:c r="A95" s="7" t="n"/>
      <x:c r="B95" s="5" t="n"/>
      <x:c r="C95" s="5" t="inlineStr">
        <x:is>
          <x:t xml:space="preserve">Pre-Vocational Studies</x:t>
        </x:is>
      </x:c>
      <x:c r="D95" s="6" t="n">
        <x:v>2</x:v>
      </x:c>
      <x:c r="E95" s="6" t="n">
        <x:v>7</x:v>
      </x:c>
      <x:c r="F95" s="6" t="n">
        <x:v>24</x:v>
      </x:c>
      <x:c r="G95" s="6">
        <x:f>D95+E95+F95</x:f>
        <x:v>33</x:v>
      </x:c>
      <x:c r="H95" s="6">
        <x:f>1+SUMPRODUCT(($C$2:$C$271=C95)*($G$2:$G$271&gt;G95))</x:f>
        <x:v>30</x:v>
      </x:c>
      <x:c r="I95" s="7" t="str">
        <x:f>IF(G95&gt;=70,"A",IF(G95&gt;=60,"B",IF(G95&gt;=50,"C",IF(G95&gt;=40,"D","E"))))</x:f>
        <x:v>E</x:v>
      </x:c>
      <x:c r="J95" s="5" t="str">
        <x:f>IF(G95&gt;=70,"Excellent",IF(G95&gt;=60,"Very Good",IF(G95&gt;=50,"Good",IF(G95&gt;=40,"Fair","Needs Improvement"))))</x:f>
        <x:v>Needs Improvement</x:v>
      </x:c>
      <x:c r="K95" s="6" t="n"/>
      <x:c r="L95" s="6" t="n"/>
      <x:c r="M95" s="6" t="n"/>
      <x:c r="N95" s="6" t="n"/>
      <x:c r="O95" s="10" t="n"/>
      <x:c r="P95" s="10" t="n"/>
    </x:row>
    <x:row r="96">
      <x:c r="A96" s="7" t="n"/>
      <x:c r="B96" s="5" t="n"/>
      <x:c r="C96" s="5" t="inlineStr">
        <x:is>
          <x:t xml:space="preserve">National Value</x:t>
        </x:is>
      </x:c>
      <x:c r="D96" s="6" t="n">
        <x:v>6</x:v>
      </x:c>
      <x:c r="E96" s="6" t="n">
        <x:v>10</x:v>
      </x:c>
      <x:c r="F96" s="6" t="n">
        <x:v>20</x:v>
      </x:c>
      <x:c r="G96" s="6">
        <x:f>D96+E96+F96</x:f>
        <x:v>36</x:v>
      </x:c>
      <x:c r="H96" s="6">
        <x:f>1+SUMPRODUCT(($C$2:$C$271=C96)*($G$2:$G$271&gt;G96))</x:f>
        <x:v>30</x:v>
      </x:c>
      <x:c r="I96" s="7" t="str">
        <x:f>IF(G96&gt;=70,"A",IF(G96&gt;=60,"B",IF(G96&gt;=50,"C",IF(G96&gt;=40,"D","E"))))</x:f>
        <x:v>E</x:v>
      </x:c>
      <x:c r="J96" s="5" t="str">
        <x:f>IF(G96&gt;=70,"Excellent",IF(G96&gt;=60,"Very Good",IF(G96&gt;=50,"Good",IF(G96&gt;=40,"Fair","Needs Improvement"))))</x:f>
        <x:v>Needs Improvement</x:v>
      </x:c>
      <x:c r="K96" s="6" t="n"/>
      <x:c r="L96" s="6" t="n"/>
      <x:c r="M96" s="6" t="n"/>
      <x:c r="N96" s="6" t="n"/>
      <x:c r="O96" s="10" t="n"/>
      <x:c r="P96" s="10" t="n"/>
    </x:row>
    <x:row r="97">
      <x:c r="A97" s="7" t="n"/>
      <x:c r="B97" s="5" t="n"/>
      <x:c r="C97" s="5" t="inlineStr">
        <x:is>
          <x:t xml:space="preserve">Business Studies</x:t>
        </x:is>
      </x:c>
      <x:c r="D97" s="6" t="n">
        <x:v>2</x:v>
      </x:c>
      <x:c r="E97" s="6" t="n">
        <x:v>11</x:v>
      </x:c>
      <x:c r="F97" s="6" t="n">
        <x:v>24</x:v>
      </x:c>
      <x:c r="G97" s="6">
        <x:f>D97+E97+F97</x:f>
        <x:v>37</x:v>
      </x:c>
      <x:c r="H97" s="6">
        <x:f>1+SUMPRODUCT(($C$2:$C$271=C97)*($G$2:$G$271&gt;G97))</x:f>
        <x:v>30</x:v>
      </x:c>
      <x:c r="I97" s="7" t="str">
        <x:f>IF(G97&gt;=70,"A",IF(G97&gt;=60,"B",IF(G97&gt;=50,"C",IF(G97&gt;=40,"D","E"))))</x:f>
        <x:v>E</x:v>
      </x:c>
      <x:c r="J97" s="5" t="str">
        <x:f>IF(G97&gt;=70,"Excellent",IF(G97&gt;=60,"Very Good",IF(G97&gt;=50,"Good",IF(G97&gt;=40,"Fair","Needs Improvement"))))</x:f>
        <x:v>Needs Improvement</x:v>
      </x:c>
      <x:c r="K97" s="6" t="n"/>
      <x:c r="L97" s="6" t="n"/>
      <x:c r="M97" s="6" t="n"/>
      <x:c r="N97" s="6" t="n"/>
      <x:c r="O97" s="10" t="n"/>
      <x:c r="P97" s="10" t="n"/>
    </x:row>
    <x:row r="98">
      <x:c r="A98" s="7" t="n"/>
      <x:c r="B98" s="5" t="n"/>
      <x:c r="C98" s="5" t="inlineStr">
        <x:is>
          <x:t xml:space="preserve">Creative and Cultural Art</x:t>
        </x:is>
      </x:c>
      <x:c r="D98" s="6" t="n">
        <x:v>2</x:v>
      </x:c>
      <x:c r="E98" s="6" t="n">
        <x:v>13</x:v>
      </x:c>
      <x:c r="F98" s="6" t="n">
        <x:v>30</x:v>
      </x:c>
      <x:c r="G98" s="6">
        <x:f>D98+E98+F98</x:f>
        <x:v>45</x:v>
      </x:c>
      <x:c r="H98" s="6">
        <x:f>1+SUMPRODUCT(($C$2:$C$271=C98)*($G$2:$G$271&gt;G98))</x:f>
        <x:v>27</x:v>
      </x:c>
      <x:c r="I98" s="7" t="str">
        <x:f>IF(G98&gt;=70,"A",IF(G98&gt;=60,"B",IF(G98&gt;=50,"C",IF(G98&gt;=40,"D","E"))))</x:f>
        <x:v>D</x:v>
      </x:c>
      <x:c r="J98" s="5" t="str">
        <x:f>IF(G98&gt;=70,"Excellent",IF(G98&gt;=60,"Very Good",IF(G98&gt;=50,"Good",IF(G98&gt;=40,"Fair","Needs Improvement"))))</x:f>
        <x:v>Fair</x:v>
      </x:c>
      <x:c r="K98" s="6" t="n"/>
      <x:c r="L98" s="6" t="n"/>
      <x:c r="M98" s="6" t="n"/>
      <x:c r="N98" s="6" t="n"/>
      <x:c r="O98" s="10" t="n"/>
      <x:c r="P98" s="10" t="n"/>
    </x:row>
    <x:row r="99">
      <x:c r="A99" s="7" t="n"/>
      <x:c r="B99" s="5" t="n"/>
      <x:c r="C99" s="5" t="inlineStr">
        <x:is>
          <x:t xml:space="preserve">Christian Religious Studies</x:t>
        </x:is>
      </x:c>
      <x:c r="D99" s="6" t="n">
        <x:v>6</x:v>
      </x:c>
      <x:c r="E99" s="6" t="n">
        <x:v>13</x:v>
      </x:c>
      <x:c r="F99" s="6" t="n">
        <x:v>37</x:v>
      </x:c>
      <x:c r="G99" s="6">
        <x:f>D99+E99+F99</x:f>
        <x:v>56</x:v>
      </x:c>
      <x:c r="H99" s="6">
        <x:f>1+SUMPRODUCT(($C$2:$C$271=C99)*($G$2:$G$271&gt;G99))</x:f>
        <x:v>23</x:v>
      </x:c>
      <x:c r="I99" s="7" t="str">
        <x:f>IF(G99&gt;=70,"A",IF(G99&gt;=60,"B",IF(G99&gt;=50,"C",IF(G99&gt;=40,"D","E"))))</x:f>
        <x:v>C</x:v>
      </x:c>
      <x:c r="J99" s="5" t="str">
        <x:f>IF(G99&gt;=70,"Excellent",IF(G99&gt;=60,"Very Good",IF(G99&gt;=50,"Good",IF(G99&gt;=40,"Fair","Needs Improvement"))))</x:f>
        <x:v>Good</x:v>
      </x:c>
      <x:c r="K99" s="6" t="n"/>
      <x:c r="L99" s="6" t="n"/>
      <x:c r="M99" s="6" t="n"/>
      <x:c r="N99" s="6" t="n"/>
      <x:c r="O99" s="10" t="n"/>
      <x:c r="P99" s="10" t="n"/>
    </x:row>
    <x:row r="100">
      <x:c r="A100" s="7" t="n"/>
      <x:c r="B100" s="5" t="n"/>
      <x:c r="C100" s="5" t="inlineStr">
        <x:is>
          <x:t xml:space="preserve">History Studies</x:t>
        </x:is>
      </x:c>
      <x:c r="D100" s="6" t="n">
        <x:v>1</x:v>
      </x:c>
      <x:c r="E100" s="6" t="n">
        <x:v>13</x:v>
      </x:c>
      <x:c r="F100" s="6" t="n">
        <x:v>20</x:v>
      </x:c>
      <x:c r="G100" s="6">
        <x:f>D100+E100+F100</x:f>
        <x:v>34</x:v>
      </x:c>
      <x:c r="H100" s="6">
        <x:f>1+SUMPRODUCT(($C$2:$C$271=C100)*($G$2:$G$271&gt;G100))</x:f>
        <x:v>30</x:v>
      </x:c>
      <x:c r="I100" s="7" t="str">
        <x:f>IF(G100&gt;=70,"A",IF(G100&gt;=60,"B",IF(G100&gt;=50,"C",IF(G100&gt;=40,"D","E"))))</x:f>
        <x:v>E</x:v>
      </x:c>
      <x:c r="J100" s="5" t="str">
        <x:f>IF(G100&gt;=70,"Excellent",IF(G100&gt;=60,"Very Good",IF(G100&gt;=50,"Good",IF(G100&gt;=40,"Fair","Needs Improvement"))))</x:f>
        <x:v>Needs Improvement</x:v>
      </x:c>
      <x:c r="K100" s="6" t="n"/>
      <x:c r="L100" s="6" t="n"/>
      <x:c r="M100" s="6" t="n"/>
      <x:c r="N100" s="6" t="n"/>
      <x:c r="O100" s="10" t="n"/>
      <x:c r="P100" s="10" t="n"/>
    </x:row>
    <x:row r="101">
      <x:c r="A101" s="3" t="n">
        <x:v>12</x:v>
      </x:c>
      <x:c r="B101" s="4" t="inlineStr">
        <x:is>
          <x:t xml:space="preserve">Ruth Lawal</x:t>
        </x:is>
      </x:c>
      <x:c r="C101" s="5" t="inlineStr">
        <x:is>
          <x:t xml:space="preserve">Mathematics</x:t>
        </x:is>
      </x:c>
      <x:c r="D101" s="6" t="n">
        <x:v>3</x:v>
      </x:c>
      <x:c r="E101" s="6" t="n">
        <x:v>12</x:v>
      </x:c>
      <x:c r="F101" s="6" t="n">
        <x:v>34</x:v>
      </x:c>
      <x:c r="G101" s="6">
        <x:f>D101+E101+F101</x:f>
        <x:v>49</x:v>
      </x:c>
      <x:c r="H101" s="6">
        <x:f>1+SUMPRODUCT(($C$2:$C$271=C101)*($G$2:$G$271&gt;G101))</x:f>
        <x:v>25</x:v>
      </x:c>
      <x:c r="I101" s="7" t="str">
        <x:f>IF(G101&gt;=70,"A",IF(G101&gt;=60,"B",IF(G101&gt;=50,"C",IF(G101&gt;=40,"D","E"))))</x:f>
        <x:v>D</x:v>
      </x:c>
      <x:c r="J101" s="5" t="str">
        <x:f>IF(G101&gt;=70,"Excellent",IF(G101&gt;=60,"Very Good",IF(G101&gt;=50,"Good",IF(G101&gt;=40,"Fair","Needs Improvement"))))</x:f>
        <x:v>Fair</x:v>
      </x:c>
      <x:c r="K101" s="8">
        <x:f>SUM(D101:D109)</x:f>
        <x:v>59</x:v>
      </x:c>
      <x:c r="L101" s="8">
        <x:f>SUM(E101:E109)</x:f>
        <x:v>105</x:v>
      </x:c>
      <x:c r="M101" s="8">
        <x:f>SUM(F101:F109)</x:f>
        <x:v>400</x:v>
      </x:c>
      <x:c r="N101" s="8">
        <x:f>SUM(G101:G109)</x:f>
        <x:v>564</x:v>
      </x:c>
      <x:c r="O101" s="9">
        <x:f>ROUND(AVERAGE(G101:G109),2)</x:f>
        <x:v>62.67</x:v>
      </x:c>
      <x:c r="P101" s="9">
        <x:f>ROUND(AVERAGE($G$2:$G$271),2)</x:f>
        <x:v>67.88</x:v>
      </x:c>
    </x:row>
    <x:row r="102">
      <x:c r="A102" s="7" t="n"/>
      <x:c r="B102" s="5" t="n"/>
      <x:c r="C102" s="5" t="inlineStr">
        <x:is>
          <x:t xml:space="preserve">English Studies</x:t>
        </x:is>
      </x:c>
      <x:c r="D102" s="6" t="n">
        <x:v>10</x:v>
      </x:c>
      <x:c r="E102" s="6" t="n">
        <x:v>14</x:v>
      </x:c>
      <x:c r="F102" s="6" t="n">
        <x:v>50</x:v>
      </x:c>
      <x:c r="G102" s="6">
        <x:f>D102+E102+F102</x:f>
        <x:v>74</x:v>
      </x:c>
      <x:c r="H102" s="6">
        <x:f>1+SUMPRODUCT(($C$2:$C$271=C102)*($G$2:$G$271&gt;G102))</x:f>
        <x:v>10</x:v>
      </x:c>
      <x:c r="I102" s="7" t="str">
        <x:f>IF(G102&gt;=70,"A",IF(G102&gt;=60,"B",IF(G102&gt;=50,"C",IF(G102&gt;=40,"D","E"))))</x:f>
        <x:v>A</x:v>
      </x:c>
      <x:c r="J102" s="5" t="str">
        <x:f>IF(G102&gt;=70,"Excellent",IF(G102&gt;=60,"Very Good",IF(G102&gt;=50,"Good",IF(G102&gt;=40,"Fair","Needs Improvement"))))</x:f>
        <x:v>Excellent</x:v>
      </x:c>
      <x:c r="K102" s="6" t="n"/>
      <x:c r="L102" s="6" t="n"/>
      <x:c r="M102" s="6" t="n"/>
      <x:c r="N102" s="6" t="n"/>
      <x:c r="O102" s="10" t="n"/>
      <x:c r="P102" s="10" t="n"/>
    </x:row>
    <x:row r="103">
      <x:c r="A103" s="7" t="n"/>
      <x:c r="B103" s="5" t="n"/>
      <x:c r="C103" s="5" t="inlineStr">
        <x:is>
          <x:t xml:space="preserve">Basic Science and Technology</x:t>
        </x:is>
      </x:c>
      <x:c r="D103" s="6" t="n">
        <x:v>7</x:v>
      </x:c>
      <x:c r="E103" s="6" t="n">
        <x:v>12</x:v>
      </x:c>
      <x:c r="F103" s="6" t="n">
        <x:v>46</x:v>
      </x:c>
      <x:c r="G103" s="6">
        <x:f>D103+E103+F103</x:f>
        <x:v>65</x:v>
      </x:c>
      <x:c r="H103" s="6">
        <x:f>1+SUMPRODUCT(($C$2:$C$271=C103)*($G$2:$G$271&gt;G103))</x:f>
        <x:v>17</x:v>
      </x:c>
      <x:c r="I103" s="7" t="str">
        <x:f>IF(G103&gt;=70,"A",IF(G103&gt;=60,"B",IF(G103&gt;=50,"C",IF(G103&gt;=40,"D","E"))))</x:f>
        <x:v>B</x:v>
      </x:c>
      <x:c r="J103" s="5" t="str">
        <x:f>IF(G103&gt;=70,"Excellent",IF(G103&gt;=60,"Very Good",IF(G103&gt;=50,"Good",IF(G103&gt;=40,"Fair","Needs Improvement"))))</x:f>
        <x:v>Very Good</x:v>
      </x:c>
      <x:c r="K103" s="6" t="n"/>
      <x:c r="L103" s="6" t="n"/>
      <x:c r="M103" s="6" t="n"/>
      <x:c r="N103" s="6" t="n"/>
      <x:c r="O103" s="10" t="n"/>
      <x:c r="P103" s="10" t="n"/>
    </x:row>
    <x:row r="104">
      <x:c r="A104" s="7" t="n"/>
      <x:c r="B104" s="5" t="n"/>
      <x:c r="C104" s="5" t="inlineStr">
        <x:is>
          <x:t xml:space="preserve">Pre-Vocational Studies</x:t>
        </x:is>
      </x:c>
      <x:c r="D104" s="6" t="n">
        <x:v>4</x:v>
      </x:c>
      <x:c r="E104" s="6" t="n">
        <x:v>10</x:v>
      </x:c>
      <x:c r="F104" s="6" t="n">
        <x:v>42</x:v>
      </x:c>
      <x:c r="G104" s="6">
        <x:f>D104+E104+F104</x:f>
        <x:v>56</x:v>
      </x:c>
      <x:c r="H104" s="6">
        <x:f>1+SUMPRODUCT(($C$2:$C$271=C104)*($G$2:$G$271&gt;G104))</x:f>
        <x:v>23</x:v>
      </x:c>
      <x:c r="I104" s="7" t="str">
        <x:f>IF(G104&gt;=70,"A",IF(G104&gt;=60,"B",IF(G104&gt;=50,"C",IF(G104&gt;=40,"D","E"))))</x:f>
        <x:v>C</x:v>
      </x:c>
      <x:c r="J104" s="5" t="str">
        <x:f>IF(G104&gt;=70,"Excellent",IF(G104&gt;=60,"Very Good",IF(G104&gt;=50,"Good",IF(G104&gt;=40,"Fair","Needs Improvement"))))</x:f>
        <x:v>Good</x:v>
      </x:c>
      <x:c r="K104" s="6" t="n"/>
      <x:c r="L104" s="6" t="n"/>
      <x:c r="M104" s="6" t="n"/>
      <x:c r="N104" s="6" t="n"/>
      <x:c r="O104" s="10" t="n"/>
      <x:c r="P104" s="10" t="n"/>
    </x:row>
    <x:row r="105">
      <x:c r="A105" s="7" t="n"/>
      <x:c r="B105" s="5" t="n"/>
      <x:c r="C105" s="5" t="inlineStr">
        <x:is>
          <x:t xml:space="preserve">National Value</x:t>
        </x:is>
      </x:c>
      <x:c r="D105" s="6" t="n">
        <x:v>9</x:v>
      </x:c>
      <x:c r="E105" s="6" t="n">
        <x:v>11</x:v>
      </x:c>
      <x:c r="F105" s="6" t="n">
        <x:v>51</x:v>
      </x:c>
      <x:c r="G105" s="6">
        <x:f>D105+E105+F105</x:f>
        <x:v>71</x:v>
      </x:c>
      <x:c r="H105" s="6">
        <x:f>1+SUMPRODUCT(($C$2:$C$271=C105)*($G$2:$G$271&gt;G105))</x:f>
        <x:v>16</x:v>
      </x:c>
      <x:c r="I105" s="7" t="str">
        <x:f>IF(G105&gt;=70,"A",IF(G105&gt;=60,"B",IF(G105&gt;=50,"C",IF(G105&gt;=40,"D","E"))))</x:f>
        <x:v>A</x:v>
      </x:c>
      <x:c r="J105" s="5" t="str">
        <x:f>IF(G105&gt;=70,"Excellent",IF(G105&gt;=60,"Very Good",IF(G105&gt;=50,"Good",IF(G105&gt;=40,"Fair","Needs Improvement"))))</x:f>
        <x:v>Excellent</x:v>
      </x:c>
      <x:c r="K105" s="6" t="n"/>
      <x:c r="L105" s="6" t="n"/>
      <x:c r="M105" s="6" t="n"/>
      <x:c r="N105" s="6" t="n"/>
      <x:c r="O105" s="10" t="n"/>
      <x:c r="P105" s="10" t="n"/>
    </x:row>
    <x:row r="106">
      <x:c r="A106" s="7" t="n"/>
      <x:c r="B106" s="5" t="n"/>
      <x:c r="C106" s="5" t="inlineStr">
        <x:is>
          <x:t xml:space="preserve">Business Studies</x:t>
        </x:is>
      </x:c>
      <x:c r="D106" s="6" t="n">
        <x:v>6</x:v>
      </x:c>
      <x:c r="E106" s="6" t="n">
        <x:v>10</x:v>
      </x:c>
      <x:c r="F106" s="6" t="n">
        <x:v>42</x:v>
      </x:c>
      <x:c r="G106" s="6">
        <x:f>D106+E106+F106</x:f>
        <x:v>58</x:v>
      </x:c>
      <x:c r="H106" s="6">
        <x:f>1+SUMPRODUCT(($C$2:$C$271=C106)*($G$2:$G$271&gt;G106))</x:f>
        <x:v>22</x:v>
      </x:c>
      <x:c r="I106" s="7" t="str">
        <x:f>IF(G106&gt;=70,"A",IF(G106&gt;=60,"B",IF(G106&gt;=50,"C",IF(G106&gt;=40,"D","E"))))</x:f>
        <x:v>C</x:v>
      </x:c>
      <x:c r="J106" s="5" t="str">
        <x:f>IF(G106&gt;=70,"Excellent",IF(G106&gt;=60,"Very Good",IF(G106&gt;=50,"Good",IF(G106&gt;=40,"Fair","Needs Improvement"))))</x:f>
        <x:v>Good</x:v>
      </x:c>
      <x:c r="K106" s="6" t="n"/>
      <x:c r="L106" s="6" t="n"/>
      <x:c r="M106" s="6" t="n"/>
      <x:c r="N106" s="6" t="n"/>
      <x:c r="O106" s="10" t="n"/>
      <x:c r="P106" s="10" t="n"/>
    </x:row>
    <x:row r="107">
      <x:c r="A107" s="7" t="n"/>
      <x:c r="B107" s="5" t="n"/>
      <x:c r="C107" s="5" t="inlineStr">
        <x:is>
          <x:t xml:space="preserve">Creative and Cultural Art</x:t>
        </x:is>
      </x:c>
      <x:c r="D107" s="6" t="n">
        <x:v>5</x:v>
      </x:c>
      <x:c r="E107" s="6" t="n">
        <x:v>7</x:v>
      </x:c>
      <x:c r="F107" s="6" t="n">
        <x:v>42</x:v>
      </x:c>
      <x:c r="G107" s="6">
        <x:f>D107+E107+F107</x:f>
        <x:v>54</x:v>
      </x:c>
      <x:c r="H107" s="6">
        <x:f>1+SUMPRODUCT(($C$2:$C$271=C107)*($G$2:$G$271&gt;G107))</x:f>
        <x:v>25</x:v>
      </x:c>
      <x:c r="I107" s="7" t="str">
        <x:f>IF(G107&gt;=70,"A",IF(G107&gt;=60,"B",IF(G107&gt;=50,"C",IF(G107&gt;=40,"D","E"))))</x:f>
        <x:v>C</x:v>
      </x:c>
      <x:c r="J107" s="5" t="str">
        <x:f>IF(G107&gt;=70,"Excellent",IF(G107&gt;=60,"Very Good",IF(G107&gt;=50,"Good",IF(G107&gt;=40,"Fair","Needs Improvement"))))</x:f>
        <x:v>Good</x:v>
      </x:c>
      <x:c r="K107" s="6" t="n"/>
      <x:c r="L107" s="6" t="n"/>
      <x:c r="M107" s="6" t="n"/>
      <x:c r="N107" s="6" t="n"/>
      <x:c r="O107" s="10" t="n"/>
      <x:c r="P107" s="10" t="n"/>
    </x:row>
    <x:row r="108">
      <x:c r="A108" s="7" t="n"/>
      <x:c r="B108" s="5" t="n"/>
      <x:c r="C108" s="5" t="inlineStr">
        <x:is>
          <x:t xml:space="preserve">Christian Religious Studies</x:t>
        </x:is>
      </x:c>
      <x:c r="D108" s="6" t="n">
        <x:v>9</x:v>
      </x:c>
      <x:c r="E108" s="6" t="n">
        <x:v>11</x:v>
      </x:c>
      <x:c r="F108" s="6" t="n">
        <x:v>45</x:v>
      </x:c>
      <x:c r="G108" s="6">
        <x:f>D108+E108+F108</x:f>
        <x:v>65</x:v>
      </x:c>
      <x:c r="H108" s="6">
        <x:f>1+SUMPRODUCT(($C$2:$C$271=C108)*($G$2:$G$271&gt;G108))</x:f>
        <x:v>20</x:v>
      </x:c>
      <x:c r="I108" s="7" t="str">
        <x:f>IF(G108&gt;=70,"A",IF(G108&gt;=60,"B",IF(G108&gt;=50,"C",IF(G108&gt;=40,"D","E"))))</x:f>
        <x:v>B</x:v>
      </x:c>
      <x:c r="J108" s="5" t="str">
        <x:f>IF(G108&gt;=70,"Excellent",IF(G108&gt;=60,"Very Good",IF(G108&gt;=50,"Good",IF(G108&gt;=40,"Fair","Needs Improvement"))))</x:f>
        <x:v>Very Good</x:v>
      </x:c>
      <x:c r="K108" s="6" t="n"/>
      <x:c r="L108" s="6" t="n"/>
      <x:c r="M108" s="6" t="n"/>
      <x:c r="N108" s="6" t="n"/>
      <x:c r="O108" s="10" t="n"/>
      <x:c r="P108" s="10" t="n"/>
    </x:row>
    <x:row r="109">
      <x:c r="A109" s="7" t="n"/>
      <x:c r="B109" s="5" t="n"/>
      <x:c r="C109" s="5" t="inlineStr">
        <x:is>
          <x:t xml:space="preserve">History Studies</x:t>
        </x:is>
      </x:c>
      <x:c r="D109" s="6" t="n">
        <x:v>6</x:v>
      </x:c>
      <x:c r="E109" s="6" t="n">
        <x:v>18</x:v>
      </x:c>
      <x:c r="F109" s="6" t="n">
        <x:v>48</x:v>
      </x:c>
      <x:c r="G109" s="6">
        <x:f>D109+E109+F109</x:f>
        <x:v>72</x:v>
      </x:c>
      <x:c r="H109" s="6">
        <x:f>1+SUMPRODUCT(($C$2:$C$271=C109)*($G$2:$G$271&gt;G109))</x:f>
        <x:v>15</x:v>
      </x:c>
      <x:c r="I109" s="7" t="str">
        <x:f>IF(G109&gt;=70,"A",IF(G109&gt;=60,"B",IF(G109&gt;=50,"C",IF(G109&gt;=40,"D","E"))))</x:f>
        <x:v>A</x:v>
      </x:c>
      <x:c r="J109" s="5" t="str">
        <x:f>IF(G109&gt;=70,"Excellent",IF(G109&gt;=60,"Very Good",IF(G109&gt;=50,"Good",IF(G109&gt;=40,"Fair","Needs Improvement"))))</x:f>
        <x:v>Excellent</x:v>
      </x:c>
      <x:c r="K109" s="6" t="n"/>
      <x:c r="L109" s="6" t="n"/>
      <x:c r="M109" s="6" t="n"/>
      <x:c r="N109" s="6" t="n"/>
      <x:c r="O109" s="10" t="n"/>
      <x:c r="P109" s="10" t="n"/>
    </x:row>
    <x:row r="110">
      <x:c r="A110" s="3" t="n">
        <x:v>13</x:v>
      </x:c>
      <x:c r="B110" s="4" t="inlineStr">
        <x:is>
          <x:t xml:space="preserve">Isaac Sule</x:t>
        </x:is>
      </x:c>
      <x:c r="C110" s="5" t="inlineStr">
        <x:is>
          <x:t xml:space="preserve">Mathematics</x:t>
        </x:is>
      </x:c>
      <x:c r="D110" s="6" t="n">
        <x:v>5</x:v>
      </x:c>
      <x:c r="E110" s="6" t="n">
        <x:v>11</x:v>
      </x:c>
      <x:c r="F110" s="6" t="n">
        <x:v>44</x:v>
      </x:c>
      <x:c r="G110" s="6">
        <x:f>D110+E110+F110</x:f>
        <x:v>60</x:v>
      </x:c>
      <x:c r="H110" s="6">
        <x:f>1+SUMPRODUCT(($C$2:$C$271=C110)*($G$2:$G$271&gt;G110))</x:f>
        <x:v>15</x:v>
      </x:c>
      <x:c r="I110" s="7" t="str">
        <x:f>IF(G110&gt;=70,"A",IF(G110&gt;=60,"B",IF(G110&gt;=50,"C",IF(G110&gt;=40,"D","E"))))</x:f>
        <x:v>B</x:v>
      </x:c>
      <x:c r="J110" s="5" t="str">
        <x:f>IF(G110&gt;=70,"Excellent",IF(G110&gt;=60,"Very Good",IF(G110&gt;=50,"Good",IF(G110&gt;=40,"Fair","Needs Improvement"))))</x:f>
        <x:v>Very Good</x:v>
      </x:c>
      <x:c r="K110" s="8">
        <x:f>SUM(D110:D118)</x:f>
        <x:v>61</x:v>
      </x:c>
      <x:c r="L110" s="8">
        <x:f>SUM(E110:E118)</x:f>
        <x:v>103</x:v>
      </x:c>
      <x:c r="M110" s="8">
        <x:f>SUM(F110:F118)</x:f>
        <x:v>422</x:v>
      </x:c>
      <x:c r="N110" s="8">
        <x:f>SUM(G110:G118)</x:f>
        <x:v>586</x:v>
      </x:c>
      <x:c r="O110" s="9">
        <x:f>ROUND(AVERAGE(G110:G118),2)</x:f>
        <x:v>65.11</x:v>
      </x:c>
      <x:c r="P110" s="9">
        <x:f>ROUND(AVERAGE($G$2:$G$271),2)</x:f>
        <x:v>67.88</x:v>
      </x:c>
    </x:row>
    <x:row r="111">
      <x:c r="A111" s="7" t="n"/>
      <x:c r="B111" s="5" t="n"/>
      <x:c r="C111" s="5" t="inlineStr">
        <x:is>
          <x:t xml:space="preserve">English Studies</x:t>
        </x:is>
      </x:c>
      <x:c r="D111" s="6" t="n">
        <x:v>3</x:v>
      </x:c>
      <x:c r="E111" s="6" t="n">
        <x:v>8</x:v>
      </x:c>
      <x:c r="F111" s="6" t="n">
        <x:v>45</x:v>
      </x:c>
      <x:c r="G111" s="6">
        <x:f>D111+E111+F111</x:f>
        <x:v>56</x:v>
      </x:c>
      <x:c r="H111" s="6">
        <x:f>1+SUMPRODUCT(($C$2:$C$271=C111)*($G$2:$G$271&gt;G111))</x:f>
        <x:v>20</x:v>
      </x:c>
      <x:c r="I111" s="7" t="str">
        <x:f>IF(G111&gt;=70,"A",IF(G111&gt;=60,"B",IF(G111&gt;=50,"C",IF(G111&gt;=40,"D","E"))))</x:f>
        <x:v>C</x:v>
      </x:c>
      <x:c r="J111" s="5" t="str">
        <x:f>IF(G111&gt;=70,"Excellent",IF(G111&gt;=60,"Very Good",IF(G111&gt;=50,"Good",IF(G111&gt;=40,"Fair","Needs Improvement"))))</x:f>
        <x:v>Good</x:v>
      </x:c>
      <x:c r="K111" s="6" t="n"/>
      <x:c r="L111" s="6" t="n"/>
      <x:c r="M111" s="6" t="n"/>
      <x:c r="N111" s="6" t="n"/>
      <x:c r="O111" s="10" t="n"/>
      <x:c r="P111" s="10" t="n"/>
    </x:row>
    <x:row r="112">
      <x:c r="A112" s="7" t="n"/>
      <x:c r="B112" s="5" t="n"/>
      <x:c r="C112" s="5" t="inlineStr">
        <x:is>
          <x:t xml:space="preserve">Basic Science and Technology</x:t>
        </x:is>
      </x:c>
      <x:c r="D112" s="6" t="n">
        <x:v>10</x:v>
      </x:c>
      <x:c r="E112" s="6" t="n">
        <x:v>16</x:v>
      </x:c>
      <x:c r="F112" s="6" t="n">
        <x:v>54</x:v>
      </x:c>
      <x:c r="G112" s="6">
        <x:f>D112+E112+F112</x:f>
        <x:v>80</x:v>
      </x:c>
      <x:c r="H112" s="6">
        <x:f>1+SUMPRODUCT(($C$2:$C$271=C112)*($G$2:$G$271&gt;G112))</x:f>
        <x:v>7</x:v>
      </x:c>
      <x:c r="I112" s="7" t="str">
        <x:f>IF(G112&gt;=70,"A",IF(G112&gt;=60,"B",IF(G112&gt;=50,"C",IF(G112&gt;=40,"D","E"))))</x:f>
        <x:v>A</x:v>
      </x:c>
      <x:c r="J112" s="5" t="str">
        <x:f>IF(G112&gt;=70,"Excellent",IF(G112&gt;=60,"Very Good",IF(G112&gt;=50,"Good",IF(G112&gt;=40,"Fair","Needs Improvement"))))</x:f>
        <x:v>Excellent</x:v>
      </x:c>
      <x:c r="K112" s="6" t="n"/>
      <x:c r="L112" s="6" t="n"/>
      <x:c r="M112" s="6" t="n"/>
      <x:c r="N112" s="6" t="n"/>
      <x:c r="O112" s="10" t="n"/>
      <x:c r="P112" s="10" t="n"/>
    </x:row>
    <x:row r="113">
      <x:c r="A113" s="7" t="n"/>
      <x:c r="B113" s="5" t="n"/>
      <x:c r="C113" s="5" t="inlineStr">
        <x:is>
          <x:t xml:space="preserve">Pre-Vocational Studies</x:t>
        </x:is>
      </x:c>
      <x:c r="D113" s="6" t="n">
        <x:v>6</x:v>
      </x:c>
      <x:c r="E113" s="6" t="n">
        <x:v>12</x:v>
      </x:c>
      <x:c r="F113" s="6" t="n">
        <x:v>52</x:v>
      </x:c>
      <x:c r="G113" s="6">
        <x:f>D113+E113+F113</x:f>
        <x:v>70</x:v>
      </x:c>
      <x:c r="H113" s="6">
        <x:f>1+SUMPRODUCT(($C$2:$C$271=C113)*($G$2:$G$271&gt;G113))</x:f>
        <x:v>15</x:v>
      </x:c>
      <x:c r="I113" s="7" t="str">
        <x:f>IF(G113&gt;=70,"A",IF(G113&gt;=60,"B",IF(G113&gt;=50,"C",IF(G113&gt;=40,"D","E"))))</x:f>
        <x:v>A</x:v>
      </x:c>
      <x:c r="J113" s="5" t="str">
        <x:f>IF(G113&gt;=70,"Excellent",IF(G113&gt;=60,"Very Good",IF(G113&gt;=50,"Good",IF(G113&gt;=40,"Fair","Needs Improvement"))))</x:f>
        <x:v>Excellent</x:v>
      </x:c>
      <x:c r="K113" s="6" t="n"/>
      <x:c r="L113" s="6" t="n"/>
      <x:c r="M113" s="6" t="n"/>
      <x:c r="N113" s="6" t="n"/>
      <x:c r="O113" s="10" t="n"/>
      <x:c r="P113" s="10" t="n"/>
    </x:row>
    <x:row r="114">
      <x:c r="A114" s="7" t="n"/>
      <x:c r="B114" s="5" t="n"/>
      <x:c r="C114" s="5" t="inlineStr">
        <x:is>
          <x:t xml:space="preserve">National Value</x:t>
        </x:is>
      </x:c>
      <x:c r="D114" s="6" t="n">
        <x:v>8</x:v>
      </x:c>
      <x:c r="E114" s="6" t="n">
        <x:v>10</x:v>
      </x:c>
      <x:c r="F114" s="6" t="n">
        <x:v>49</x:v>
      </x:c>
      <x:c r="G114" s="6">
        <x:f>D114+E114+F114</x:f>
        <x:v>67</x:v>
      </x:c>
      <x:c r="H114" s="6">
        <x:f>1+SUMPRODUCT(($C$2:$C$271=C114)*($G$2:$G$271&gt;G114))</x:f>
        <x:v>22</x:v>
      </x:c>
      <x:c r="I114" s="7" t="str">
        <x:f>IF(G114&gt;=70,"A",IF(G114&gt;=60,"B",IF(G114&gt;=50,"C",IF(G114&gt;=40,"D","E"))))</x:f>
        <x:v>B</x:v>
      </x:c>
      <x:c r="J114" s="5" t="str">
        <x:f>IF(G114&gt;=70,"Excellent",IF(G114&gt;=60,"Very Good",IF(G114&gt;=50,"Good",IF(G114&gt;=40,"Fair","Needs Improvement"))))</x:f>
        <x:v>Very Good</x:v>
      </x:c>
      <x:c r="K114" s="6" t="n"/>
      <x:c r="L114" s="6" t="n"/>
      <x:c r="M114" s="6" t="n"/>
      <x:c r="N114" s="6" t="n"/>
      <x:c r="O114" s="10" t="n"/>
      <x:c r="P114" s="10" t="n"/>
    </x:row>
    <x:row r="115">
      <x:c r="A115" s="7" t="n"/>
      <x:c r="B115" s="5" t="n"/>
      <x:c r="C115" s="5" t="inlineStr">
        <x:is>
          <x:t xml:space="preserve">Business Studies</x:t>
        </x:is>
      </x:c>
      <x:c r="D115" s="6" t="n">
        <x:v>5</x:v>
      </x:c>
      <x:c r="E115" s="6" t="n">
        <x:v>16</x:v>
      </x:c>
      <x:c r="F115" s="6" t="n">
        <x:v>47</x:v>
      </x:c>
      <x:c r="G115" s="6">
        <x:f>D115+E115+F115</x:f>
        <x:v>68</x:v>
      </x:c>
      <x:c r="H115" s="6">
        <x:f>1+SUMPRODUCT(($C$2:$C$271=C115)*($G$2:$G$271&gt;G115))</x:f>
        <x:v>18</x:v>
      </x:c>
      <x:c r="I115" s="7" t="str">
        <x:f>IF(G115&gt;=70,"A",IF(G115&gt;=60,"B",IF(G115&gt;=50,"C",IF(G115&gt;=40,"D","E"))))</x:f>
        <x:v>B</x:v>
      </x:c>
      <x:c r="J115" s="5" t="str">
        <x:f>IF(G115&gt;=70,"Excellent",IF(G115&gt;=60,"Very Good",IF(G115&gt;=50,"Good",IF(G115&gt;=40,"Fair","Needs Improvement"))))</x:f>
        <x:v>Very Good</x:v>
      </x:c>
      <x:c r="K115" s="6" t="n"/>
      <x:c r="L115" s="6" t="n"/>
      <x:c r="M115" s="6" t="n"/>
      <x:c r="N115" s="6" t="n"/>
      <x:c r="O115" s="10" t="n"/>
      <x:c r="P115" s="10" t="n"/>
    </x:row>
    <x:row r="116">
      <x:c r="A116" s="7" t="n"/>
      <x:c r="B116" s="5" t="n"/>
      <x:c r="C116" s="5" t="inlineStr">
        <x:is>
          <x:t xml:space="preserve">Creative and Cultural Art</x:t>
        </x:is>
      </x:c>
      <x:c r="D116" s="6" t="n">
        <x:v>10</x:v>
      </x:c>
      <x:c r="E116" s="6" t="n">
        <x:v>11</x:v>
      </x:c>
      <x:c r="F116" s="6" t="n">
        <x:v>48</x:v>
      </x:c>
      <x:c r="G116" s="6">
        <x:f>D116+E116+F116</x:f>
        <x:v>69</x:v>
      </x:c>
      <x:c r="H116" s="6">
        <x:f>1+SUMPRODUCT(($C$2:$C$271=C116)*($G$2:$G$271&gt;G116))</x:f>
        <x:v>18</x:v>
      </x:c>
      <x:c r="I116" s="7" t="str">
        <x:f>IF(G116&gt;=70,"A",IF(G116&gt;=60,"B",IF(G116&gt;=50,"C",IF(G116&gt;=40,"D","E"))))</x:f>
        <x:v>B</x:v>
      </x:c>
      <x:c r="J116" s="5" t="str">
        <x:f>IF(G116&gt;=70,"Excellent",IF(G116&gt;=60,"Very Good",IF(G116&gt;=50,"Good",IF(G116&gt;=40,"Fair","Needs Improvement"))))</x:f>
        <x:v>Very Good</x:v>
      </x:c>
      <x:c r="K116" s="6" t="n"/>
      <x:c r="L116" s="6" t="n"/>
      <x:c r="M116" s="6" t="n"/>
      <x:c r="N116" s="6" t="n"/>
      <x:c r="O116" s="10" t="n"/>
      <x:c r="P116" s="10" t="n"/>
    </x:row>
    <x:row r="117">
      <x:c r="A117" s="7" t="n"/>
      <x:c r="B117" s="5" t="n"/>
      <x:c r="C117" s="5" t="inlineStr">
        <x:is>
          <x:t xml:space="preserve">Christian Religious Studies</x:t>
        </x:is>
      </x:c>
      <x:c r="D117" s="6" t="n">
        <x:v>8</x:v>
      </x:c>
      <x:c r="E117" s="6" t="n">
        <x:v>10</x:v>
      </x:c>
      <x:c r="F117" s="6" t="n">
        <x:v>35</x:v>
      </x:c>
      <x:c r="G117" s="6">
        <x:f>D117+E117+F117</x:f>
        <x:v>53</x:v>
      </x:c>
      <x:c r="H117" s="6">
        <x:f>1+SUMPRODUCT(($C$2:$C$271=C117)*($G$2:$G$271&gt;G117))</x:f>
        <x:v>24</x:v>
      </x:c>
      <x:c r="I117" s="7" t="str">
        <x:f>IF(G117&gt;=70,"A",IF(G117&gt;=60,"B",IF(G117&gt;=50,"C",IF(G117&gt;=40,"D","E"))))</x:f>
        <x:v>C</x:v>
      </x:c>
      <x:c r="J117" s="5" t="str">
        <x:f>IF(G117&gt;=70,"Excellent",IF(G117&gt;=60,"Very Good",IF(G117&gt;=50,"Good",IF(G117&gt;=40,"Fair","Needs Improvement"))))</x:f>
        <x:v>Good</x:v>
      </x:c>
      <x:c r="K117" s="6" t="n"/>
      <x:c r="L117" s="6" t="n"/>
      <x:c r="M117" s="6" t="n"/>
      <x:c r="N117" s="6" t="n"/>
      <x:c r="O117" s="10" t="n"/>
      <x:c r="P117" s="10" t="n"/>
    </x:row>
    <x:row r="118">
      <x:c r="A118" s="7" t="n"/>
      <x:c r="B118" s="5" t="n"/>
      <x:c r="C118" s="5" t="inlineStr">
        <x:is>
          <x:t xml:space="preserve">History Studies</x:t>
        </x:is>
      </x:c>
      <x:c r="D118" s="6" t="n">
        <x:v>6</x:v>
      </x:c>
      <x:c r="E118" s="6" t="n">
        <x:v>9</x:v>
      </x:c>
      <x:c r="F118" s="6" t="n">
        <x:v>48</x:v>
      </x:c>
      <x:c r="G118" s="6">
        <x:f>D118+E118+F118</x:f>
        <x:v>63</x:v>
      </x:c>
      <x:c r="H118" s="6">
        <x:f>1+SUMPRODUCT(($C$2:$C$271=C118)*($G$2:$G$271&gt;G118))</x:f>
        <x:v>20</x:v>
      </x:c>
      <x:c r="I118" s="7" t="str">
        <x:f>IF(G118&gt;=70,"A",IF(G118&gt;=60,"B",IF(G118&gt;=50,"C",IF(G118&gt;=40,"D","E"))))</x:f>
        <x:v>B</x:v>
      </x:c>
      <x:c r="J118" s="5" t="str">
        <x:f>IF(G118&gt;=70,"Excellent",IF(G118&gt;=60,"Very Good",IF(G118&gt;=50,"Good",IF(G118&gt;=40,"Fair","Needs Improvement"))))</x:f>
        <x:v>Very Good</x:v>
      </x:c>
      <x:c r="K118" s="6" t="n"/>
      <x:c r="L118" s="6" t="n"/>
      <x:c r="M118" s="6" t="n"/>
      <x:c r="N118" s="6" t="n"/>
      <x:c r="O118" s="10" t="n"/>
      <x:c r="P118" s="10" t="n"/>
    </x:row>
    <x:row r="119">
      <x:c r="A119" s="3" t="n">
        <x:v>14</x:v>
      </x:c>
      <x:c r="B119" s="4" t="inlineStr">
        <x:is>
          <x:t xml:space="preserve">Mercy Danladi</x:t>
        </x:is>
      </x:c>
      <x:c r="C119" s="5" t="inlineStr">
        <x:is>
          <x:t xml:space="preserve">Mathematics</x:t>
        </x:is>
      </x:c>
      <x:c r="D119" s="6" t="n">
        <x:v>10</x:v>
      </x:c>
      <x:c r="E119" s="6" t="n">
        <x:v>19</x:v>
      </x:c>
      <x:c r="F119" s="6" t="n">
        <x:v>60</x:v>
      </x:c>
      <x:c r="G119" s="6">
        <x:f>D119+E119+F119</x:f>
        <x:v>89</x:v>
      </x:c>
      <x:c r="H119" s="6">
        <x:f>1+SUMPRODUCT(($C$2:$C$271=C119)*($G$2:$G$271&gt;G119))</x:f>
        <x:v>1</x:v>
      </x:c>
      <x:c r="I119" s="7" t="str">
        <x:f>IF(G119&gt;=70,"A",IF(G119&gt;=60,"B",IF(G119&gt;=50,"C",IF(G119&gt;=40,"D","E"))))</x:f>
        <x:v>A</x:v>
      </x:c>
      <x:c r="J119" s="5" t="str">
        <x:f>IF(G119&gt;=70,"Excellent",IF(G119&gt;=60,"Very Good",IF(G119&gt;=50,"Good",IF(G119&gt;=40,"Fair","Needs Improvement"))))</x:f>
        <x:v>Excellent</x:v>
      </x:c>
      <x:c r="K119" s="8">
        <x:f>SUM(D119:D127)</x:f>
        <x:v>77</x:v>
      </x:c>
      <x:c r="L119" s="8">
        <x:f>SUM(E119:E127)</x:f>
        <x:v>161</x:v>
      </x:c>
      <x:c r="M119" s="8">
        <x:f>SUM(F119:F127)</x:f>
        <x:v>538</x:v>
      </x:c>
      <x:c r="N119" s="8">
        <x:f>SUM(G119:G127)</x:f>
        <x:v>776</x:v>
      </x:c>
      <x:c r="O119" s="9">
        <x:f>ROUND(AVERAGE(G119:G127),2)</x:f>
        <x:v>86.22</x:v>
      </x:c>
      <x:c r="P119" s="9">
        <x:f>ROUND(AVERAGE($G$2:$G$271),2)</x:f>
        <x:v>67.88</x:v>
      </x:c>
    </x:row>
    <x:row r="120">
      <x:c r="A120" s="7" t="n"/>
      <x:c r="B120" s="5" t="n"/>
      <x:c r="C120" s="5" t="inlineStr">
        <x:is>
          <x:t xml:space="preserve">English Studies</x:t>
        </x:is>
      </x:c>
      <x:c r="D120" s="6" t="n">
        <x:v>6</x:v>
      </x:c>
      <x:c r="E120" s="6" t="n">
        <x:v>13</x:v>
      </x:c>
      <x:c r="F120" s="6" t="n">
        <x:v>63</x:v>
      </x:c>
      <x:c r="G120" s="6">
        <x:f>D120+E120+F120</x:f>
        <x:v>82</x:v>
      </x:c>
      <x:c r="H120" s="6">
        <x:f>1+SUMPRODUCT(($C$2:$C$271=C120)*($G$2:$G$271&gt;G120))</x:f>
        <x:v>7</x:v>
      </x:c>
      <x:c r="I120" s="7" t="str">
        <x:f>IF(G120&gt;=70,"A",IF(G120&gt;=60,"B",IF(G120&gt;=50,"C",IF(G120&gt;=40,"D","E"))))</x:f>
        <x:v>A</x:v>
      </x:c>
      <x:c r="J120" s="5" t="str">
        <x:f>IF(G120&gt;=70,"Excellent",IF(G120&gt;=60,"Very Good",IF(G120&gt;=50,"Good",IF(G120&gt;=40,"Fair","Needs Improvement"))))</x:f>
        <x:v>Excellent</x:v>
      </x:c>
      <x:c r="K120" s="6" t="n"/>
      <x:c r="L120" s="6" t="n"/>
      <x:c r="M120" s="6" t="n"/>
      <x:c r="N120" s="6" t="n"/>
      <x:c r="O120" s="10" t="n"/>
      <x:c r="P120" s="10" t="n"/>
    </x:row>
    <x:row r="121">
      <x:c r="A121" s="7" t="n"/>
      <x:c r="B121" s="5" t="n"/>
      <x:c r="C121" s="5" t="inlineStr">
        <x:is>
          <x:t xml:space="preserve">Basic Science and Technology</x:t>
        </x:is>
      </x:c>
      <x:c r="D121" s="6" t="n">
        <x:v>9</x:v>
      </x:c>
      <x:c r="E121" s="6" t="n">
        <x:v>15</x:v>
      </x:c>
      <x:c r="F121" s="6" t="n">
        <x:v>54</x:v>
      </x:c>
      <x:c r="G121" s="6">
        <x:f>D121+E121+F121</x:f>
        <x:v>78</x:v>
      </x:c>
      <x:c r="H121" s="6">
        <x:f>1+SUMPRODUCT(($C$2:$C$271=C121)*($G$2:$G$271&gt;G121))</x:f>
        <x:v>9</x:v>
      </x:c>
      <x:c r="I121" s="7" t="str">
        <x:f>IF(G121&gt;=70,"A",IF(G121&gt;=60,"B",IF(G121&gt;=50,"C",IF(G121&gt;=40,"D","E"))))</x:f>
        <x:v>A</x:v>
      </x:c>
      <x:c r="J121" s="5" t="str">
        <x:f>IF(G121&gt;=70,"Excellent",IF(G121&gt;=60,"Very Good",IF(G121&gt;=50,"Good",IF(G121&gt;=40,"Fair","Needs Improvement"))))</x:f>
        <x:v>Excellent</x:v>
      </x:c>
      <x:c r="K121" s="6" t="n"/>
      <x:c r="L121" s="6" t="n"/>
      <x:c r="M121" s="6" t="n"/>
      <x:c r="N121" s="6" t="n"/>
      <x:c r="O121" s="10" t="n"/>
      <x:c r="P121" s="10" t="n"/>
    </x:row>
    <x:row r="122">
      <x:c r="A122" s="7" t="n"/>
      <x:c r="B122" s="5" t="n"/>
      <x:c r="C122" s="5" t="inlineStr">
        <x:is>
          <x:t xml:space="preserve">Pre-Vocational Studies</x:t>
        </x:is>
      </x:c>
      <x:c r="D122" s="6" t="n">
        <x:v>9</x:v>
      </x:c>
      <x:c r="E122" s="6" t="n">
        <x:v>17</x:v>
      </x:c>
      <x:c r="F122" s="6" t="n">
        <x:v>50</x:v>
      </x:c>
      <x:c r="G122" s="6">
        <x:f>D122+E122+F122</x:f>
        <x:v>76</x:v>
      </x:c>
      <x:c r="H122" s="6">
        <x:f>1+SUMPRODUCT(($C$2:$C$271=C122)*($G$2:$G$271&gt;G122))</x:f>
        <x:v>7</x:v>
      </x:c>
      <x:c r="I122" s="7" t="str">
        <x:f>IF(G122&gt;=70,"A",IF(G122&gt;=60,"B",IF(G122&gt;=50,"C",IF(G122&gt;=40,"D","E"))))</x:f>
        <x:v>A</x:v>
      </x:c>
      <x:c r="J122" s="5" t="str">
        <x:f>IF(G122&gt;=70,"Excellent",IF(G122&gt;=60,"Very Good",IF(G122&gt;=50,"Good",IF(G122&gt;=40,"Fair","Needs Improvement"))))</x:f>
        <x:v>Excellent</x:v>
      </x:c>
      <x:c r="K122" s="6" t="n"/>
      <x:c r="L122" s="6" t="n"/>
      <x:c r="M122" s="6" t="n"/>
      <x:c r="N122" s="6" t="n"/>
      <x:c r="O122" s="10" t="n"/>
      <x:c r="P122" s="10" t="n"/>
    </x:row>
    <x:row r="123">
      <x:c r="A123" s="7" t="n"/>
      <x:c r="B123" s="5" t="n"/>
      <x:c r="C123" s="5" t="inlineStr">
        <x:is>
          <x:t xml:space="preserve">National Value</x:t>
        </x:is>
      </x:c>
      <x:c r="D123" s="6" t="n">
        <x:v>9</x:v>
      </x:c>
      <x:c r="E123" s="6" t="n">
        <x:v>20</x:v>
      </x:c>
      <x:c r="F123" s="6" t="n">
        <x:v>64</x:v>
      </x:c>
      <x:c r="G123" s="6">
        <x:f>D123+E123+F123</x:f>
        <x:v>93</x:v>
      </x:c>
      <x:c r="H123" s="6">
        <x:f>1+SUMPRODUCT(($C$2:$C$271=C123)*($G$2:$G$271&gt;G123))</x:f>
        <x:v>2</x:v>
      </x:c>
      <x:c r="I123" s="7" t="str">
        <x:f>IF(G123&gt;=70,"A",IF(G123&gt;=60,"B",IF(G123&gt;=50,"C",IF(G123&gt;=40,"D","E"))))</x:f>
        <x:v>A</x:v>
      </x:c>
      <x:c r="J123" s="5" t="str">
        <x:f>IF(G123&gt;=70,"Excellent",IF(G123&gt;=60,"Very Good",IF(G123&gt;=50,"Good",IF(G123&gt;=40,"Fair","Needs Improvement"))))</x:f>
        <x:v>Excellent</x:v>
      </x:c>
      <x:c r="K123" s="6" t="n"/>
      <x:c r="L123" s="6" t="n"/>
      <x:c r="M123" s="6" t="n"/>
      <x:c r="N123" s="6" t="n"/>
      <x:c r="O123" s="10" t="n"/>
      <x:c r="P123" s="10" t="n"/>
    </x:row>
    <x:row r="124">
      <x:c r="A124" s="7" t="n"/>
      <x:c r="B124" s="5" t="n"/>
      <x:c r="C124" s="5" t="inlineStr">
        <x:is>
          <x:t xml:space="preserve">Business Studies</x:t>
        </x:is>
      </x:c>
      <x:c r="D124" s="6" t="n">
        <x:v>9</x:v>
      </x:c>
      <x:c r="E124" s="6" t="n">
        <x:v>20</x:v>
      </x:c>
      <x:c r="F124" s="6" t="n">
        <x:v>59</x:v>
      </x:c>
      <x:c r="G124" s="6">
        <x:f>D124+E124+F124</x:f>
        <x:v>88</x:v>
      </x:c>
      <x:c r="H124" s="6">
        <x:f>1+SUMPRODUCT(($C$2:$C$271=C124)*($G$2:$G$271&gt;G124))</x:f>
        <x:v>3</x:v>
      </x:c>
      <x:c r="I124" s="7" t="str">
        <x:f>IF(G124&gt;=70,"A",IF(G124&gt;=60,"B",IF(G124&gt;=50,"C",IF(G124&gt;=40,"D","E"))))</x:f>
        <x:v>A</x:v>
      </x:c>
      <x:c r="J124" s="5" t="str">
        <x:f>IF(G124&gt;=70,"Excellent",IF(G124&gt;=60,"Very Good",IF(G124&gt;=50,"Good",IF(G124&gt;=40,"Fair","Needs Improvement"))))</x:f>
        <x:v>Excellent</x:v>
      </x:c>
      <x:c r="K124" s="6" t="n"/>
      <x:c r="L124" s="6" t="n"/>
      <x:c r="M124" s="6" t="n"/>
      <x:c r="N124" s="6" t="n"/>
      <x:c r="O124" s="10" t="n"/>
      <x:c r="P124" s="10" t="n"/>
    </x:row>
    <x:row r="125">
      <x:c r="A125" s="7" t="n"/>
      <x:c r="B125" s="5" t="n"/>
      <x:c r="C125" s="5" t="inlineStr">
        <x:is>
          <x:t xml:space="preserve">Creative and Cultural Art</x:t>
        </x:is>
      </x:c>
      <x:c r="D125" s="6" t="n">
        <x:v>6</x:v>
      </x:c>
      <x:c r="E125" s="6" t="n">
        <x:v>18</x:v>
      </x:c>
      <x:c r="F125" s="6" t="n">
        <x:v>59</x:v>
      </x:c>
      <x:c r="G125" s="6">
        <x:f>D125+E125+F125</x:f>
        <x:v>83</x:v>
      </x:c>
      <x:c r="H125" s="6">
        <x:f>1+SUMPRODUCT(($C$2:$C$271=C125)*($G$2:$G$271&gt;G125))</x:f>
        <x:v>7</x:v>
      </x:c>
      <x:c r="I125" s="7" t="str">
        <x:f>IF(G125&gt;=70,"A",IF(G125&gt;=60,"B",IF(G125&gt;=50,"C",IF(G125&gt;=40,"D","E"))))</x:f>
        <x:v>A</x:v>
      </x:c>
      <x:c r="J125" s="5" t="str">
        <x:f>IF(G125&gt;=70,"Excellent",IF(G125&gt;=60,"Very Good",IF(G125&gt;=50,"Good",IF(G125&gt;=40,"Fair","Needs Improvement"))))</x:f>
        <x:v>Excellent</x:v>
      </x:c>
      <x:c r="K125" s="6" t="n"/>
      <x:c r="L125" s="6" t="n"/>
      <x:c r="M125" s="6" t="n"/>
      <x:c r="N125" s="6" t="n"/>
      <x:c r="O125" s="10" t="n"/>
      <x:c r="P125" s="10" t="n"/>
    </x:row>
    <x:row r="126">
      <x:c r="A126" s="7" t="n"/>
      <x:c r="B126" s="5" t="n"/>
      <x:c r="C126" s="5" t="inlineStr">
        <x:is>
          <x:t xml:space="preserve">Christian Religious Studies</x:t>
        </x:is>
      </x:c>
      <x:c r="D126" s="6" t="n">
        <x:v>10</x:v>
      </x:c>
      <x:c r="E126" s="6" t="n">
        <x:v>19</x:v>
      </x:c>
      <x:c r="F126" s="6" t="n">
        <x:v>63</x:v>
      </x:c>
      <x:c r="G126" s="6">
        <x:f>D126+E126+F126</x:f>
        <x:v>92</x:v>
      </x:c>
      <x:c r="H126" s="6">
        <x:f>1+SUMPRODUCT(($C$2:$C$271=C126)*($G$2:$G$271&gt;G126))</x:f>
        <x:v>2</x:v>
      </x:c>
      <x:c r="I126" s="7" t="str">
        <x:f>IF(G126&gt;=70,"A",IF(G126&gt;=60,"B",IF(G126&gt;=50,"C",IF(G126&gt;=40,"D","E"))))</x:f>
        <x:v>A</x:v>
      </x:c>
      <x:c r="J126" s="5" t="str">
        <x:f>IF(G126&gt;=70,"Excellent",IF(G126&gt;=60,"Very Good",IF(G126&gt;=50,"Good",IF(G126&gt;=40,"Fair","Needs Improvement"))))</x:f>
        <x:v>Excellent</x:v>
      </x:c>
      <x:c r="K126" s="6" t="n"/>
      <x:c r="L126" s="6" t="n"/>
      <x:c r="M126" s="6" t="n"/>
      <x:c r="N126" s="6" t="n"/>
      <x:c r="O126" s="10" t="n"/>
      <x:c r="P126" s="10" t="n"/>
    </x:row>
    <x:row r="127">
      <x:c r="A127" s="7" t="n"/>
      <x:c r="B127" s="5" t="n"/>
      <x:c r="C127" s="5" t="inlineStr">
        <x:is>
          <x:t xml:space="preserve">History Studies</x:t>
        </x:is>
      </x:c>
      <x:c r="D127" s="6" t="n">
        <x:v>9</x:v>
      </x:c>
      <x:c r="E127" s="6" t="n">
        <x:v>20</x:v>
      </x:c>
      <x:c r="F127" s="6" t="n">
        <x:v>66</x:v>
      </x:c>
      <x:c r="G127" s="6">
        <x:f>D127+E127+F127</x:f>
        <x:v>95</x:v>
      </x:c>
      <x:c r="H127" s="6">
        <x:f>1+SUMPRODUCT(($C$2:$C$271=C127)*($G$2:$G$271&gt;G127))</x:f>
        <x:v>1</x:v>
      </x:c>
      <x:c r="I127" s="7" t="str">
        <x:f>IF(G127&gt;=70,"A",IF(G127&gt;=60,"B",IF(G127&gt;=50,"C",IF(G127&gt;=40,"D","E"))))</x:f>
        <x:v>A</x:v>
      </x:c>
      <x:c r="J127" s="5" t="str">
        <x:f>IF(G127&gt;=70,"Excellent",IF(G127&gt;=60,"Very Good",IF(G127&gt;=50,"Good",IF(G127&gt;=40,"Fair","Needs Improvement"))))</x:f>
        <x:v>Excellent</x:v>
      </x:c>
      <x:c r="K127" s="6" t="n"/>
      <x:c r="L127" s="6" t="n"/>
      <x:c r="M127" s="6" t="n"/>
      <x:c r="N127" s="6" t="n"/>
      <x:c r="O127" s="10" t="n"/>
      <x:c r="P127" s="10" t="n"/>
    </x:row>
    <x:row r="128">
      <x:c r="A128" s="3" t="n">
        <x:v>15</x:v>
      </x:c>
      <x:c r="B128" s="4" t="inlineStr">
        <x:is>
          <x:t xml:space="preserve">Peter Yakubu</x:t>
        </x:is>
      </x:c>
      <x:c r="C128" s="5" t="inlineStr">
        <x:is>
          <x:t xml:space="preserve">Mathematics</x:t>
        </x:is>
      </x:c>
      <x:c r="D128" s="6" t="n">
        <x:v>6</x:v>
      </x:c>
      <x:c r="E128" s="6" t="n">
        <x:v>10</x:v>
      </x:c>
      <x:c r="F128" s="6" t="n">
        <x:v>36</x:v>
      </x:c>
      <x:c r="G128" s="6">
        <x:f>D128+E128+F128</x:f>
        <x:v>52</x:v>
      </x:c>
      <x:c r="H128" s="6">
        <x:f>1+SUMPRODUCT(($C$2:$C$271=C128)*($G$2:$G$271&gt;G128))</x:f>
        <x:v>24</x:v>
      </x:c>
      <x:c r="I128" s="7" t="str">
        <x:f>IF(G128&gt;=70,"A",IF(G128&gt;=60,"B",IF(G128&gt;=50,"C",IF(G128&gt;=40,"D","E"))))</x:f>
        <x:v>C</x:v>
      </x:c>
      <x:c r="J128" s="5" t="str">
        <x:f>IF(G128&gt;=70,"Excellent",IF(G128&gt;=60,"Very Good",IF(G128&gt;=50,"Good",IF(G128&gt;=40,"Fair","Needs Improvement"))))</x:f>
        <x:v>Good</x:v>
      </x:c>
      <x:c r="K128" s="8">
        <x:f>SUM(D128:D136)</x:f>
        <x:v>46</x:v>
      </x:c>
      <x:c r="L128" s="8">
        <x:f>SUM(E128:E136)</x:f>
        <x:v>84</x:v>
      </x:c>
      <x:c r="M128" s="8">
        <x:f>SUM(F128:F136)</x:f>
        <x:v>298</x:v>
      </x:c>
      <x:c r="N128" s="8">
        <x:f>SUM(G128:G136)</x:f>
        <x:v>428</x:v>
      </x:c>
      <x:c r="O128" s="9">
        <x:f>ROUND(AVERAGE(G128:G136),2)</x:f>
        <x:v>47.56</x:v>
      </x:c>
      <x:c r="P128" s="9">
        <x:f>ROUND(AVERAGE($G$2:$G$271),2)</x:f>
        <x:v>67.88</x:v>
      </x:c>
    </x:row>
    <x:row r="129">
      <x:c r="A129" s="7" t="n"/>
      <x:c r="B129" s="5" t="n"/>
      <x:c r="C129" s="5" t="inlineStr">
        <x:is>
          <x:t xml:space="preserve">English Studies</x:t>
        </x:is>
      </x:c>
      <x:c r="D129" s="6" t="n">
        <x:v>7</x:v>
      </x:c>
      <x:c r="E129" s="6" t="n">
        <x:v>9</x:v>
      </x:c>
      <x:c r="F129" s="6" t="n">
        <x:v>31</x:v>
      </x:c>
      <x:c r="G129" s="6">
        <x:f>D129+E129+F129</x:f>
        <x:v>47</x:v>
      </x:c>
      <x:c r="H129" s="6">
        <x:f>1+SUMPRODUCT(($C$2:$C$271=C129)*($G$2:$G$271&gt;G129))</x:f>
        <x:v>28</x:v>
      </x:c>
      <x:c r="I129" s="7" t="str">
        <x:f>IF(G129&gt;=70,"A",IF(G129&gt;=60,"B",IF(G129&gt;=50,"C",IF(G129&gt;=40,"D","E"))))</x:f>
        <x:v>D</x:v>
      </x:c>
      <x:c r="J129" s="5" t="str">
        <x:f>IF(G129&gt;=70,"Excellent",IF(G129&gt;=60,"Very Good",IF(G129&gt;=50,"Good",IF(G129&gt;=40,"Fair","Needs Improvement"))))</x:f>
        <x:v>Fair</x:v>
      </x:c>
      <x:c r="K129" s="6" t="n"/>
      <x:c r="L129" s="6" t="n"/>
      <x:c r="M129" s="6" t="n"/>
      <x:c r="N129" s="6" t="n"/>
      <x:c r="O129" s="10" t="n"/>
      <x:c r="P129" s="10" t="n"/>
    </x:row>
    <x:row r="130">
      <x:c r="A130" s="7" t="n"/>
      <x:c r="B130" s="5" t="n"/>
      <x:c r="C130" s="5" t="inlineStr">
        <x:is>
          <x:t xml:space="preserve">Basic Science and Technology</x:t>
        </x:is>
      </x:c>
      <x:c r="D130" s="6" t="n">
        <x:v>6</x:v>
      </x:c>
      <x:c r="E130" s="6" t="n">
        <x:v>10</x:v>
      </x:c>
      <x:c r="F130" s="6" t="n">
        <x:v>32</x:v>
      </x:c>
      <x:c r="G130" s="6">
        <x:f>D130+E130+F130</x:f>
        <x:v>48</x:v>
      </x:c>
      <x:c r="H130" s="6">
        <x:f>1+SUMPRODUCT(($C$2:$C$271=C130)*($G$2:$G$271&gt;G130))</x:f>
        <x:v>27</x:v>
      </x:c>
      <x:c r="I130" s="7" t="str">
        <x:f>IF(G130&gt;=70,"A",IF(G130&gt;=60,"B",IF(G130&gt;=50,"C",IF(G130&gt;=40,"D","E"))))</x:f>
        <x:v>D</x:v>
      </x:c>
      <x:c r="J130" s="5" t="str">
        <x:f>IF(G130&gt;=70,"Excellent",IF(G130&gt;=60,"Very Good",IF(G130&gt;=50,"Good",IF(G130&gt;=40,"Fair","Needs Improvement"))))</x:f>
        <x:v>Fair</x:v>
      </x:c>
      <x:c r="K130" s="6" t="n"/>
      <x:c r="L130" s="6" t="n"/>
      <x:c r="M130" s="6" t="n"/>
      <x:c r="N130" s="6" t="n"/>
      <x:c r="O130" s="10" t="n"/>
      <x:c r="P130" s="10" t="n"/>
    </x:row>
    <x:row r="131">
      <x:c r="A131" s="7" t="n"/>
      <x:c r="B131" s="5" t="n"/>
      <x:c r="C131" s="5" t="inlineStr">
        <x:is>
          <x:t xml:space="preserve">Pre-Vocational Studies</x:t>
        </x:is>
      </x:c>
      <x:c r="D131" s="6" t="n">
        <x:v>6</x:v>
      </x:c>
      <x:c r="E131" s="6" t="n">
        <x:v>7</x:v>
      </x:c>
      <x:c r="F131" s="6" t="n">
        <x:v>33</x:v>
      </x:c>
      <x:c r="G131" s="6">
        <x:f>D131+E131+F131</x:f>
        <x:v>46</x:v>
      </x:c>
      <x:c r="H131" s="6">
        <x:f>1+SUMPRODUCT(($C$2:$C$271=C131)*($G$2:$G$271&gt;G131))</x:f>
        <x:v>28</x:v>
      </x:c>
      <x:c r="I131" s="7" t="str">
        <x:f>IF(G131&gt;=70,"A",IF(G131&gt;=60,"B",IF(G131&gt;=50,"C",IF(G131&gt;=40,"D","E"))))</x:f>
        <x:v>D</x:v>
      </x:c>
      <x:c r="J131" s="5" t="str">
        <x:f>IF(G131&gt;=70,"Excellent",IF(G131&gt;=60,"Very Good",IF(G131&gt;=50,"Good",IF(G131&gt;=40,"Fair","Needs Improvement"))))</x:f>
        <x:v>Fair</x:v>
      </x:c>
      <x:c r="K131" s="6" t="n"/>
      <x:c r="L131" s="6" t="n"/>
      <x:c r="M131" s="6" t="n"/>
      <x:c r="N131" s="6" t="n"/>
      <x:c r="O131" s="10" t="n"/>
      <x:c r="P131" s="10" t="n"/>
    </x:row>
    <x:row r="132">
      <x:c r="A132" s="7" t="n"/>
      <x:c r="B132" s="5" t="n"/>
      <x:c r="C132" s="5" t="inlineStr">
        <x:is>
          <x:t xml:space="preserve">National Value</x:t>
        </x:is>
      </x:c>
      <x:c r="D132" s="6" t="n">
        <x:v>3</x:v>
      </x:c>
      <x:c r="E132" s="6" t="n">
        <x:v>11</x:v>
      </x:c>
      <x:c r="F132" s="6" t="n">
        <x:v>31</x:v>
      </x:c>
      <x:c r="G132" s="6">
        <x:f>D132+E132+F132</x:f>
        <x:v>45</x:v>
      </x:c>
      <x:c r="H132" s="6">
        <x:f>1+SUMPRODUCT(($C$2:$C$271=C132)*($G$2:$G$271&gt;G132))</x:f>
        <x:v>28</x:v>
      </x:c>
      <x:c r="I132" s="7" t="str">
        <x:f>IF(G132&gt;=70,"A",IF(G132&gt;=60,"B",IF(G132&gt;=50,"C",IF(G132&gt;=40,"D","E"))))</x:f>
        <x:v>D</x:v>
      </x:c>
      <x:c r="J132" s="5" t="str">
        <x:f>IF(G132&gt;=70,"Excellent",IF(G132&gt;=60,"Very Good",IF(G132&gt;=50,"Good",IF(G132&gt;=40,"Fair","Needs Improvement"))))</x:f>
        <x:v>Fair</x:v>
      </x:c>
      <x:c r="K132" s="6" t="n"/>
      <x:c r="L132" s="6" t="n"/>
      <x:c r="M132" s="6" t="n"/>
      <x:c r="N132" s="6" t="n"/>
      <x:c r="O132" s="10" t="n"/>
      <x:c r="P132" s="10" t="n"/>
    </x:row>
    <x:row r="133">
      <x:c r="A133" s="7" t="n"/>
      <x:c r="B133" s="5" t="n"/>
      <x:c r="C133" s="5" t="inlineStr">
        <x:is>
          <x:t xml:space="preserve">Business Studies</x:t>
        </x:is>
      </x:c>
      <x:c r="D133" s="6" t="n">
        <x:v>7</x:v>
      </x:c>
      <x:c r="E133" s="6" t="n">
        <x:v>7</x:v>
      </x:c>
      <x:c r="F133" s="6" t="n">
        <x:v>40</x:v>
      </x:c>
      <x:c r="G133" s="6">
        <x:f>D133+E133+F133</x:f>
        <x:v>54</x:v>
      </x:c>
      <x:c r="H133" s="6">
        <x:f>1+SUMPRODUCT(($C$2:$C$271=C133)*($G$2:$G$271&gt;G133))</x:f>
        <x:v>26</x:v>
      </x:c>
      <x:c r="I133" s="7" t="str">
        <x:f>IF(G133&gt;=70,"A",IF(G133&gt;=60,"B",IF(G133&gt;=50,"C",IF(G133&gt;=40,"D","E"))))</x:f>
        <x:v>C</x:v>
      </x:c>
      <x:c r="J133" s="5" t="str">
        <x:f>IF(G133&gt;=70,"Excellent",IF(G133&gt;=60,"Very Good",IF(G133&gt;=50,"Good",IF(G133&gt;=40,"Fair","Needs Improvement"))))</x:f>
        <x:v>Good</x:v>
      </x:c>
      <x:c r="K133" s="6" t="n"/>
      <x:c r="L133" s="6" t="n"/>
      <x:c r="M133" s="6" t="n"/>
      <x:c r="N133" s="6" t="n"/>
      <x:c r="O133" s="10" t="n"/>
      <x:c r="P133" s="10" t="n"/>
    </x:row>
    <x:row r="134">
      <x:c r="A134" s="7" t="n"/>
      <x:c r="B134" s="5" t="n"/>
      <x:c r="C134" s="5" t="inlineStr">
        <x:is>
          <x:t xml:space="preserve">Creative and Cultural Art</x:t>
        </x:is>
      </x:c>
      <x:c r="D134" s="6" t="n">
        <x:v>5</x:v>
      </x:c>
      <x:c r="E134" s="6" t="n">
        <x:v>14</x:v>
      </x:c>
      <x:c r="F134" s="6" t="n">
        <x:v>38</x:v>
      </x:c>
      <x:c r="G134" s="6">
        <x:f>D134+E134+F134</x:f>
        <x:v>57</x:v>
      </x:c>
      <x:c r="H134" s="6">
        <x:f>1+SUMPRODUCT(($C$2:$C$271=C134)*($G$2:$G$271&gt;G134))</x:f>
        <x:v>23</x:v>
      </x:c>
      <x:c r="I134" s="7" t="str">
        <x:f>IF(G134&gt;=70,"A",IF(G134&gt;=60,"B",IF(G134&gt;=50,"C",IF(G134&gt;=40,"D","E"))))</x:f>
        <x:v>C</x:v>
      </x:c>
      <x:c r="J134" s="5" t="str">
        <x:f>IF(G134&gt;=70,"Excellent",IF(G134&gt;=60,"Very Good",IF(G134&gt;=50,"Good",IF(G134&gt;=40,"Fair","Needs Improvement"))))</x:f>
        <x:v>Good</x:v>
      </x:c>
      <x:c r="K134" s="6" t="n"/>
      <x:c r="L134" s="6" t="n"/>
      <x:c r="M134" s="6" t="n"/>
      <x:c r="N134" s="6" t="n"/>
      <x:c r="O134" s="10" t="n"/>
      <x:c r="P134" s="10" t="n"/>
    </x:row>
    <x:row r="135">
      <x:c r="A135" s="7" t="n"/>
      <x:c r="B135" s="5" t="n"/>
      <x:c r="C135" s="5" t="inlineStr">
        <x:is>
          <x:t xml:space="preserve">Christian Religious Studies</x:t>
        </x:is>
      </x:c>
      <x:c r="D135" s="6" t="n">
        <x:v>2</x:v>
      </x:c>
      <x:c r="E135" s="6" t="n">
        <x:v>5</x:v>
      </x:c>
      <x:c r="F135" s="6" t="n">
        <x:v>24</x:v>
      </x:c>
      <x:c r="G135" s="6">
        <x:f>D135+E135+F135</x:f>
        <x:v>31</x:v>
      </x:c>
      <x:c r="H135" s="6">
        <x:f>1+SUMPRODUCT(($C$2:$C$271=C135)*($G$2:$G$271&gt;G135))</x:f>
        <x:v>28</x:v>
      </x:c>
      <x:c r="I135" s="7" t="str">
        <x:f>IF(G135&gt;=70,"A",IF(G135&gt;=60,"B",IF(G135&gt;=50,"C",IF(G135&gt;=40,"D","E"))))</x:f>
        <x:v>E</x:v>
      </x:c>
      <x:c r="J135" s="5" t="str">
        <x:f>IF(G135&gt;=70,"Excellent",IF(G135&gt;=60,"Very Good",IF(G135&gt;=50,"Good",IF(G135&gt;=40,"Fair","Needs Improvement"))))</x:f>
        <x:v>Needs Improvement</x:v>
      </x:c>
      <x:c r="K135" s="6" t="n"/>
      <x:c r="L135" s="6" t="n"/>
      <x:c r="M135" s="6" t="n"/>
      <x:c r="N135" s="6" t="n"/>
      <x:c r="O135" s="10" t="n"/>
      <x:c r="P135" s="10" t="n"/>
    </x:row>
    <x:row r="136">
      <x:c r="A136" s="7" t="n"/>
      <x:c r="B136" s="5" t="n"/>
      <x:c r="C136" s="5" t="inlineStr">
        <x:is>
          <x:t xml:space="preserve">History Studies</x:t>
        </x:is>
      </x:c>
      <x:c r="D136" s="6" t="n">
        <x:v>4</x:v>
      </x:c>
      <x:c r="E136" s="6" t="n">
        <x:v>11</x:v>
      </x:c>
      <x:c r="F136" s="6" t="n">
        <x:v>33</x:v>
      </x:c>
      <x:c r="G136" s="6">
        <x:f>D136+E136+F136</x:f>
        <x:v>48</x:v>
      </x:c>
      <x:c r="H136" s="6">
        <x:f>1+SUMPRODUCT(($C$2:$C$271=C136)*($G$2:$G$271&gt;G136))</x:f>
        <x:v>26</x:v>
      </x:c>
      <x:c r="I136" s="7" t="str">
        <x:f>IF(G136&gt;=70,"A",IF(G136&gt;=60,"B",IF(G136&gt;=50,"C",IF(G136&gt;=40,"D","E"))))</x:f>
        <x:v>D</x:v>
      </x:c>
      <x:c r="J136" s="5" t="str">
        <x:f>IF(G136&gt;=70,"Excellent",IF(G136&gt;=60,"Very Good",IF(G136&gt;=50,"Good",IF(G136&gt;=40,"Fair","Needs Improvement"))))</x:f>
        <x:v>Fair</x:v>
      </x:c>
      <x:c r="K136" s="6" t="n"/>
      <x:c r="L136" s="6" t="n"/>
      <x:c r="M136" s="6" t="n"/>
      <x:c r="N136" s="6" t="n"/>
      <x:c r="O136" s="10" t="n"/>
      <x:c r="P136" s="10" t="n"/>
    </x:row>
    <x:row r="137">
      <x:c r="A137" s="3" t="n">
        <x:v>16</x:v>
      </x:c>
      <x:c r="B137" s="4" t="inlineStr">
        <x:is>
          <x:t xml:space="preserve">Hannah Onyeka</x:t>
        </x:is>
      </x:c>
      <x:c r="C137" s="5" t="inlineStr">
        <x:is>
          <x:t xml:space="preserve">Mathematics</x:t>
        </x:is>
      </x:c>
      <x:c r="D137" s="6" t="n">
        <x:v>8</x:v>
      </x:c>
      <x:c r="E137" s="6" t="n">
        <x:v>17</x:v>
      </x:c>
      <x:c r="F137" s="6" t="n">
        <x:v>49</x:v>
      </x:c>
      <x:c r="G137" s="6">
        <x:f>D137+E137+F137</x:f>
        <x:v>74</x:v>
      </x:c>
      <x:c r="H137" s="6">
        <x:f>1+SUMPRODUCT(($C$2:$C$271=C137)*($G$2:$G$271&gt;G137))</x:f>
        <x:v>8</x:v>
      </x:c>
      <x:c r="I137" s="7" t="str">
        <x:f>IF(G137&gt;=70,"A",IF(G137&gt;=60,"B",IF(G137&gt;=50,"C",IF(G137&gt;=40,"D","E"))))</x:f>
        <x:v>A</x:v>
      </x:c>
      <x:c r="J137" s="5" t="str">
        <x:f>IF(G137&gt;=70,"Excellent",IF(G137&gt;=60,"Very Good",IF(G137&gt;=50,"Good",IF(G137&gt;=40,"Fair","Needs Improvement"))))</x:f>
        <x:v>Excellent</x:v>
      </x:c>
      <x:c r="K137" s="8">
        <x:f>SUM(D137:D145)</x:f>
        <x:v>61</x:v>
      </x:c>
      <x:c r="L137" s="8">
        <x:f>SUM(E137:E145)</x:f>
        <x:v>125</x:v>
      </x:c>
      <x:c r="M137" s="8">
        <x:f>SUM(F137:F145)</x:f>
        <x:v>444</x:v>
      </x:c>
      <x:c r="N137" s="8">
        <x:f>SUM(G137:G145)</x:f>
        <x:v>630</x:v>
      </x:c>
      <x:c r="O137" s="9">
        <x:f>ROUND(AVERAGE(G137:G145),2)</x:f>
        <x:v>70</x:v>
      </x:c>
      <x:c r="P137" s="9">
        <x:f>ROUND(AVERAGE($G$2:$G$271),2)</x:f>
        <x:v>67.88</x:v>
      </x:c>
    </x:row>
    <x:row r="138">
      <x:c r="A138" s="7" t="n"/>
      <x:c r="B138" s="5" t="n"/>
      <x:c r="C138" s="5" t="inlineStr">
        <x:is>
          <x:t xml:space="preserve">English Studies</x:t>
        </x:is>
      </x:c>
      <x:c r="D138" s="6" t="n">
        <x:v>10</x:v>
      </x:c>
      <x:c r="E138" s="6" t="n">
        <x:v>11</x:v>
      </x:c>
      <x:c r="F138" s="6" t="n">
        <x:v>51</x:v>
      </x:c>
      <x:c r="G138" s="6">
        <x:f>D138+E138+F138</x:f>
        <x:v>72</x:v>
      </x:c>
      <x:c r="H138" s="6">
        <x:f>1+SUMPRODUCT(($C$2:$C$271=C138)*($G$2:$G$271&gt;G138))</x:f>
        <x:v>11</x:v>
      </x:c>
      <x:c r="I138" s="7" t="str">
        <x:f>IF(G138&gt;=70,"A",IF(G138&gt;=60,"B",IF(G138&gt;=50,"C",IF(G138&gt;=40,"D","E"))))</x:f>
        <x:v>A</x:v>
      </x:c>
      <x:c r="J138" s="5" t="str">
        <x:f>IF(G138&gt;=70,"Excellent",IF(G138&gt;=60,"Very Good",IF(G138&gt;=50,"Good",IF(G138&gt;=40,"Fair","Needs Improvement"))))</x:f>
        <x:v>Excellent</x:v>
      </x:c>
      <x:c r="K138" s="6" t="n"/>
      <x:c r="L138" s="6" t="n"/>
      <x:c r="M138" s="6" t="n"/>
      <x:c r="N138" s="6" t="n"/>
      <x:c r="O138" s="10" t="n"/>
      <x:c r="P138" s="10" t="n"/>
    </x:row>
    <x:row r="139">
      <x:c r="A139" s="7" t="n"/>
      <x:c r="B139" s="5" t="n"/>
      <x:c r="C139" s="5" t="inlineStr">
        <x:is>
          <x:t xml:space="preserve">Basic Science and Technology</x:t>
        </x:is>
      </x:c>
      <x:c r="D139" s="6" t="n">
        <x:v>8</x:v>
      </x:c>
      <x:c r="E139" s="6" t="n">
        <x:v>17</x:v>
      </x:c>
      <x:c r="F139" s="6" t="n">
        <x:v>51</x:v>
      </x:c>
      <x:c r="G139" s="6">
        <x:f>D139+E139+F139</x:f>
        <x:v>76</x:v>
      </x:c>
      <x:c r="H139" s="6">
        <x:f>1+SUMPRODUCT(($C$2:$C$271=C139)*($G$2:$G$271&gt;G139))</x:f>
        <x:v>11</x:v>
      </x:c>
      <x:c r="I139" s="7" t="str">
        <x:f>IF(G139&gt;=70,"A",IF(G139&gt;=60,"B",IF(G139&gt;=50,"C",IF(G139&gt;=40,"D","E"))))</x:f>
        <x:v>A</x:v>
      </x:c>
      <x:c r="J139" s="5" t="str">
        <x:f>IF(G139&gt;=70,"Excellent",IF(G139&gt;=60,"Very Good",IF(G139&gt;=50,"Good",IF(G139&gt;=40,"Fair","Needs Improvement"))))</x:f>
        <x:v>Excellent</x:v>
      </x:c>
      <x:c r="K139" s="6" t="n"/>
      <x:c r="L139" s="6" t="n"/>
      <x:c r="M139" s="6" t="n"/>
      <x:c r="N139" s="6" t="n"/>
      <x:c r="O139" s="10" t="n"/>
      <x:c r="P139" s="10" t="n"/>
    </x:row>
    <x:row r="140">
      <x:c r="A140" s="7" t="n"/>
      <x:c r="B140" s="5" t="n"/>
      <x:c r="C140" s="5" t="inlineStr">
        <x:is>
          <x:t xml:space="preserve">Pre-Vocational Studies</x:t>
        </x:is>
      </x:c>
      <x:c r="D140" s="6" t="n">
        <x:v>4</x:v>
      </x:c>
      <x:c r="E140" s="6" t="n">
        <x:v>13</x:v>
      </x:c>
      <x:c r="F140" s="6" t="n">
        <x:v>54</x:v>
      </x:c>
      <x:c r="G140" s="6">
        <x:f>D140+E140+F140</x:f>
        <x:v>71</x:v>
      </x:c>
      <x:c r="H140" s="6">
        <x:f>1+SUMPRODUCT(($C$2:$C$271=C140)*($G$2:$G$271&gt;G140))</x:f>
        <x:v>13</x:v>
      </x:c>
      <x:c r="I140" s="7" t="str">
        <x:f>IF(G140&gt;=70,"A",IF(G140&gt;=60,"B",IF(G140&gt;=50,"C",IF(G140&gt;=40,"D","E"))))</x:f>
        <x:v>A</x:v>
      </x:c>
      <x:c r="J140" s="5" t="str">
        <x:f>IF(G140&gt;=70,"Excellent",IF(G140&gt;=60,"Very Good",IF(G140&gt;=50,"Good",IF(G140&gt;=40,"Fair","Needs Improvement"))))</x:f>
        <x:v>Excellent</x:v>
      </x:c>
      <x:c r="K140" s="6" t="n"/>
      <x:c r="L140" s="6" t="n"/>
      <x:c r="M140" s="6" t="n"/>
      <x:c r="N140" s="6" t="n"/>
      <x:c r="O140" s="10" t="n"/>
      <x:c r="P140" s="10" t="n"/>
    </x:row>
    <x:row r="141">
      <x:c r="A141" s="7" t="n"/>
      <x:c r="B141" s="5" t="n"/>
      <x:c r="C141" s="5" t="inlineStr">
        <x:is>
          <x:t xml:space="preserve">National Value</x:t>
        </x:is>
      </x:c>
      <x:c r="D141" s="6" t="n">
        <x:v>6</x:v>
      </x:c>
      <x:c r="E141" s="6" t="n">
        <x:v>14</x:v>
      </x:c>
      <x:c r="F141" s="6" t="n">
        <x:v>56</x:v>
      </x:c>
      <x:c r="G141" s="6">
        <x:f>D141+E141+F141</x:f>
        <x:v>76</x:v>
      </x:c>
      <x:c r="H141" s="6">
        <x:f>1+SUMPRODUCT(($C$2:$C$271=C141)*($G$2:$G$271&gt;G141))</x:f>
        <x:v>11</x:v>
      </x:c>
      <x:c r="I141" s="7" t="str">
        <x:f>IF(G141&gt;=70,"A",IF(G141&gt;=60,"B",IF(G141&gt;=50,"C",IF(G141&gt;=40,"D","E"))))</x:f>
        <x:v>A</x:v>
      </x:c>
      <x:c r="J141" s="5" t="str">
        <x:f>IF(G141&gt;=70,"Excellent",IF(G141&gt;=60,"Very Good",IF(G141&gt;=50,"Good",IF(G141&gt;=40,"Fair","Needs Improvement"))))</x:f>
        <x:v>Excellent</x:v>
      </x:c>
      <x:c r="K141" s="6" t="n"/>
      <x:c r="L141" s="6" t="n"/>
      <x:c r="M141" s="6" t="n"/>
      <x:c r="N141" s="6" t="n"/>
      <x:c r="O141" s="10" t="n"/>
      <x:c r="P141" s="10" t="n"/>
    </x:row>
    <x:row r="142">
      <x:c r="A142" s="7" t="n"/>
      <x:c r="B142" s="5" t="n"/>
      <x:c r="C142" s="5" t="inlineStr">
        <x:is>
          <x:t xml:space="preserve">Business Studies</x:t>
        </x:is>
      </x:c>
      <x:c r="D142" s="6" t="n">
        <x:v>3</x:v>
      </x:c>
      <x:c r="E142" s="6" t="n">
        <x:v>10</x:v>
      </x:c>
      <x:c r="F142" s="6" t="n">
        <x:v>33</x:v>
      </x:c>
      <x:c r="G142" s="6">
        <x:f>D142+E142+F142</x:f>
        <x:v>46</x:v>
      </x:c>
      <x:c r="H142" s="6">
        <x:f>1+SUMPRODUCT(($C$2:$C$271=C142)*($G$2:$G$271&gt;G142))</x:f>
        <x:v>29</x:v>
      </x:c>
      <x:c r="I142" s="7" t="str">
        <x:f>IF(G142&gt;=70,"A",IF(G142&gt;=60,"B",IF(G142&gt;=50,"C",IF(G142&gt;=40,"D","E"))))</x:f>
        <x:v>D</x:v>
      </x:c>
      <x:c r="J142" s="5" t="str">
        <x:f>IF(G142&gt;=70,"Excellent",IF(G142&gt;=60,"Very Good",IF(G142&gt;=50,"Good",IF(G142&gt;=40,"Fair","Needs Improvement"))))</x:f>
        <x:v>Fair</x:v>
      </x:c>
      <x:c r="K142" s="6" t="n"/>
      <x:c r="L142" s="6" t="n"/>
      <x:c r="M142" s="6" t="n"/>
      <x:c r="N142" s="6" t="n"/>
      <x:c r="O142" s="10" t="n"/>
      <x:c r="P142" s="10" t="n"/>
    </x:row>
    <x:row r="143">
      <x:c r="A143" s="7" t="n"/>
      <x:c r="B143" s="5" t="n"/>
      <x:c r="C143" s="5" t="inlineStr">
        <x:is>
          <x:t xml:space="preserve">Creative and Cultural Art</x:t>
        </x:is>
      </x:c>
      <x:c r="D143" s="6" t="n">
        <x:v>7</x:v>
      </x:c>
      <x:c r="E143" s="6" t="n">
        <x:v>16</x:v>
      </x:c>
      <x:c r="F143" s="6" t="n">
        <x:v>45</x:v>
      </x:c>
      <x:c r="G143" s="6">
        <x:f>D143+E143+F143</x:f>
        <x:v>68</x:v>
      </x:c>
      <x:c r="H143" s="6">
        <x:f>1+SUMPRODUCT(($C$2:$C$271=C143)*($G$2:$G$271&gt;G143))</x:f>
        <x:v>20</x:v>
      </x:c>
      <x:c r="I143" s="7" t="str">
        <x:f>IF(G143&gt;=70,"A",IF(G143&gt;=60,"B",IF(G143&gt;=50,"C",IF(G143&gt;=40,"D","E"))))</x:f>
        <x:v>B</x:v>
      </x:c>
      <x:c r="J143" s="5" t="str">
        <x:f>IF(G143&gt;=70,"Excellent",IF(G143&gt;=60,"Very Good",IF(G143&gt;=50,"Good",IF(G143&gt;=40,"Fair","Needs Improvement"))))</x:f>
        <x:v>Very Good</x:v>
      </x:c>
      <x:c r="K143" s="6" t="n"/>
      <x:c r="L143" s="6" t="n"/>
      <x:c r="M143" s="6" t="n"/>
      <x:c r="N143" s="6" t="n"/>
      <x:c r="O143" s="10" t="n"/>
      <x:c r="P143" s="10" t="n"/>
    </x:row>
    <x:row r="144">
      <x:c r="A144" s="7" t="n"/>
      <x:c r="B144" s="5" t="n"/>
      <x:c r="C144" s="5" t="inlineStr">
        <x:is>
          <x:t xml:space="preserve">Christian Religious Studies</x:t>
        </x:is>
      </x:c>
      <x:c r="D144" s="6" t="n">
        <x:v>10</x:v>
      </x:c>
      <x:c r="E144" s="6" t="n">
        <x:v>16</x:v>
      </x:c>
      <x:c r="F144" s="6" t="n">
        <x:v>52</x:v>
      </x:c>
      <x:c r="G144" s="6">
        <x:f>D144+E144+F144</x:f>
        <x:v>78</x:v>
      </x:c>
      <x:c r="H144" s="6">
        <x:f>1+SUMPRODUCT(($C$2:$C$271=C144)*($G$2:$G$271&gt;G144))</x:f>
        <x:v>14</x:v>
      </x:c>
      <x:c r="I144" s="7" t="str">
        <x:f>IF(G144&gt;=70,"A",IF(G144&gt;=60,"B",IF(G144&gt;=50,"C",IF(G144&gt;=40,"D","E"))))</x:f>
        <x:v>A</x:v>
      </x:c>
      <x:c r="J144" s="5" t="str">
        <x:f>IF(G144&gt;=70,"Excellent",IF(G144&gt;=60,"Very Good",IF(G144&gt;=50,"Good",IF(G144&gt;=40,"Fair","Needs Improvement"))))</x:f>
        <x:v>Excellent</x:v>
      </x:c>
      <x:c r="K144" s="6" t="n"/>
      <x:c r="L144" s="6" t="n"/>
      <x:c r="M144" s="6" t="n"/>
      <x:c r="N144" s="6" t="n"/>
      <x:c r="O144" s="10" t="n"/>
      <x:c r="P144" s="10" t="n"/>
    </x:row>
    <x:row r="145">
      <x:c r="A145" s="7" t="n"/>
      <x:c r="B145" s="5" t="n"/>
      <x:c r="C145" s="5" t="inlineStr">
        <x:is>
          <x:t xml:space="preserve">History Studies</x:t>
        </x:is>
      </x:c>
      <x:c r="D145" s="6" t="n">
        <x:v>5</x:v>
      </x:c>
      <x:c r="E145" s="6" t="n">
        <x:v>11</x:v>
      </x:c>
      <x:c r="F145" s="6" t="n">
        <x:v>53</x:v>
      </x:c>
      <x:c r="G145" s="6">
        <x:f>D145+E145+F145</x:f>
        <x:v>69</x:v>
      </x:c>
      <x:c r="H145" s="6">
        <x:f>1+SUMPRODUCT(($C$2:$C$271=C145)*($G$2:$G$271&gt;G145))</x:f>
        <x:v>17</x:v>
      </x:c>
      <x:c r="I145" s="7" t="str">
        <x:f>IF(G145&gt;=70,"A",IF(G145&gt;=60,"B",IF(G145&gt;=50,"C",IF(G145&gt;=40,"D","E"))))</x:f>
        <x:v>B</x:v>
      </x:c>
      <x:c r="J145" s="5" t="str">
        <x:f>IF(G145&gt;=70,"Excellent",IF(G145&gt;=60,"Very Good",IF(G145&gt;=50,"Good",IF(G145&gt;=40,"Fair","Needs Improvement"))))</x:f>
        <x:v>Very Good</x:v>
      </x:c>
      <x:c r="K145" s="6" t="n"/>
      <x:c r="L145" s="6" t="n"/>
      <x:c r="M145" s="6" t="n"/>
      <x:c r="N145" s="6" t="n"/>
      <x:c r="O145" s="10" t="n"/>
      <x:c r="P145" s="10" t="n"/>
    </x:row>
    <x:row r="146">
      <x:c r="A146" s="3" t="n">
        <x:v>17</x:v>
      </x:c>
      <x:c r="B146" s="4" t="inlineStr">
        <x:is>
          <x:t xml:space="preserve">Paul Chukwu</x:t>
        </x:is>
      </x:c>
      <x:c r="C146" s="5" t="inlineStr">
        <x:is>
          <x:t xml:space="preserve">Mathematics</x:t>
        </x:is>
      </x:c>
      <x:c r="D146" s="6" t="n">
        <x:v>10</x:v>
      </x:c>
      <x:c r="E146" s="6" t="n">
        <x:v>13</x:v>
      </x:c>
      <x:c r="F146" s="6" t="n">
        <x:v>53</x:v>
      </x:c>
      <x:c r="G146" s="6">
        <x:f>D146+E146+F146</x:f>
        <x:v>76</x:v>
      </x:c>
      <x:c r="H146" s="6">
        <x:f>1+SUMPRODUCT(($C$2:$C$271=C146)*($G$2:$G$271&gt;G146))</x:f>
        <x:v>6</x:v>
      </x:c>
      <x:c r="I146" s="7" t="str">
        <x:f>IF(G146&gt;=70,"A",IF(G146&gt;=60,"B",IF(G146&gt;=50,"C",IF(G146&gt;=40,"D","E"))))</x:f>
        <x:v>A</x:v>
      </x:c>
      <x:c r="J146" s="5" t="str">
        <x:f>IF(G146&gt;=70,"Excellent",IF(G146&gt;=60,"Very Good",IF(G146&gt;=50,"Good",IF(G146&gt;=40,"Fair","Needs Improvement"))))</x:f>
        <x:v>Excellent</x:v>
      </x:c>
      <x:c r="K146" s="8">
        <x:f>SUM(D146:D154)</x:f>
        <x:v>81</x:v>
      </x:c>
      <x:c r="L146" s="8">
        <x:f>SUM(E146:E154)</x:f>
        <x:v>145</x:v>
      </x:c>
      <x:c r="M146" s="8">
        <x:f>SUM(F146:F154)</x:f>
        <x:v>560</x:v>
      </x:c>
      <x:c r="N146" s="8">
        <x:f>SUM(G146:G154)</x:f>
        <x:v>786</x:v>
      </x:c>
      <x:c r="O146" s="9">
        <x:f>ROUND(AVERAGE(G146:G154),2)</x:f>
        <x:v>87.33</x:v>
      </x:c>
      <x:c r="P146" s="9">
        <x:f>ROUND(AVERAGE($G$2:$G$271),2)</x:f>
        <x:v>67.88</x:v>
      </x:c>
    </x:row>
    <x:row r="147">
      <x:c r="A147" s="7" t="n"/>
      <x:c r="B147" s="5" t="n"/>
      <x:c r="C147" s="5" t="inlineStr">
        <x:is>
          <x:t xml:space="preserve">English Studies</x:t>
        </x:is>
      </x:c>
      <x:c r="D147" s="6" t="n">
        <x:v>7</x:v>
      </x:c>
      <x:c r="E147" s="6" t="n">
        <x:v>15</x:v>
      </x:c>
      <x:c r="F147" s="6" t="n">
        <x:v>69</x:v>
      </x:c>
      <x:c r="G147" s="6">
        <x:f>D147+E147+F147</x:f>
        <x:v>91</x:v>
      </x:c>
      <x:c r="H147" s="6">
        <x:f>1+SUMPRODUCT(($C$2:$C$271=C147)*($G$2:$G$271&gt;G147))</x:f>
        <x:v>2</x:v>
      </x:c>
      <x:c r="I147" s="7" t="str">
        <x:f>IF(G147&gt;=70,"A",IF(G147&gt;=60,"B",IF(G147&gt;=50,"C",IF(G147&gt;=40,"D","E"))))</x:f>
        <x:v>A</x:v>
      </x:c>
      <x:c r="J147" s="5" t="str">
        <x:f>IF(G147&gt;=70,"Excellent",IF(G147&gt;=60,"Very Good",IF(G147&gt;=50,"Good",IF(G147&gt;=40,"Fair","Needs Improvement"))))</x:f>
        <x:v>Excellent</x:v>
      </x:c>
      <x:c r="K147" s="6" t="n"/>
      <x:c r="L147" s="6" t="n"/>
      <x:c r="M147" s="6" t="n"/>
      <x:c r="N147" s="6" t="n"/>
      <x:c r="O147" s="10" t="n"/>
      <x:c r="P147" s="10" t="n"/>
    </x:row>
    <x:row r="148">
      <x:c r="A148" s="7" t="n"/>
      <x:c r="B148" s="5" t="n"/>
      <x:c r="C148" s="5" t="inlineStr">
        <x:is>
          <x:t xml:space="preserve">Basic Science and Technology</x:t>
        </x:is>
      </x:c>
      <x:c r="D148" s="6" t="n">
        <x:v>9</x:v>
      </x:c>
      <x:c r="E148" s="6" t="n">
        <x:v>13</x:v>
      </x:c>
      <x:c r="F148" s="6" t="n">
        <x:v>70</x:v>
      </x:c>
      <x:c r="G148" s="6">
        <x:f>D148+E148+F148</x:f>
        <x:v>92</x:v>
      </x:c>
      <x:c r="H148" s="6">
        <x:f>1+SUMPRODUCT(($C$2:$C$271=C148)*($G$2:$G$271&gt;G148))</x:f>
        <x:v>1</x:v>
      </x:c>
      <x:c r="I148" s="7" t="str">
        <x:f>IF(G148&gt;=70,"A",IF(G148&gt;=60,"B",IF(G148&gt;=50,"C",IF(G148&gt;=40,"D","E"))))</x:f>
        <x:v>A</x:v>
      </x:c>
      <x:c r="J148" s="5" t="str">
        <x:f>IF(G148&gt;=70,"Excellent",IF(G148&gt;=60,"Very Good",IF(G148&gt;=50,"Good",IF(G148&gt;=40,"Fair","Needs Improvement"))))</x:f>
        <x:v>Excellent</x:v>
      </x:c>
      <x:c r="K148" s="6" t="n"/>
      <x:c r="L148" s="6" t="n"/>
      <x:c r="M148" s="6" t="n"/>
      <x:c r="N148" s="6" t="n"/>
      <x:c r="O148" s="10" t="n"/>
      <x:c r="P148" s="10" t="n"/>
    </x:row>
    <x:row r="149">
      <x:c r="A149" s="7" t="n"/>
      <x:c r="B149" s="5" t="n"/>
      <x:c r="C149" s="5" t="inlineStr">
        <x:is>
          <x:t xml:space="preserve">Pre-Vocational Studies</x:t>
        </x:is>
      </x:c>
      <x:c r="D149" s="6" t="n">
        <x:v>10</x:v>
      </x:c>
      <x:c r="E149" s="6" t="n">
        <x:v>13</x:v>
      </x:c>
      <x:c r="F149" s="6" t="n">
        <x:v>59</x:v>
      </x:c>
      <x:c r="G149" s="6">
        <x:f>D149+E149+F149</x:f>
        <x:v>82</x:v>
      </x:c>
      <x:c r="H149" s="6">
        <x:f>1+SUMPRODUCT(($C$2:$C$271=C149)*($G$2:$G$271&gt;G149))</x:f>
        <x:v>3</x:v>
      </x:c>
      <x:c r="I149" s="7" t="str">
        <x:f>IF(G149&gt;=70,"A",IF(G149&gt;=60,"B",IF(G149&gt;=50,"C",IF(G149&gt;=40,"D","E"))))</x:f>
        <x:v>A</x:v>
      </x:c>
      <x:c r="J149" s="5" t="str">
        <x:f>IF(G149&gt;=70,"Excellent",IF(G149&gt;=60,"Very Good",IF(G149&gt;=50,"Good",IF(G149&gt;=40,"Fair","Needs Improvement"))))</x:f>
        <x:v>Excellent</x:v>
      </x:c>
      <x:c r="K149" s="6" t="n"/>
      <x:c r="L149" s="6" t="n"/>
      <x:c r="M149" s="6" t="n"/>
      <x:c r="N149" s="6" t="n"/>
      <x:c r="O149" s="10" t="n"/>
      <x:c r="P149" s="10" t="n"/>
    </x:row>
    <x:row r="150">
      <x:c r="A150" s="7" t="n"/>
      <x:c r="B150" s="5" t="n"/>
      <x:c r="C150" s="5" t="inlineStr">
        <x:is>
          <x:t xml:space="preserve">National Value</x:t>
        </x:is>
      </x:c>
      <x:c r="D150" s="6" t="n">
        <x:v>10</x:v>
      </x:c>
      <x:c r="E150" s="6" t="n">
        <x:v>19</x:v>
      </x:c>
      <x:c r="F150" s="6" t="n">
        <x:v>55</x:v>
      </x:c>
      <x:c r="G150" s="6">
        <x:f>D150+E150+F150</x:f>
        <x:v>84</x:v>
      </x:c>
      <x:c r="H150" s="6">
        <x:f>1+SUMPRODUCT(($C$2:$C$271=C150)*($G$2:$G$271&gt;G150))</x:f>
        <x:v>5</x:v>
      </x:c>
      <x:c r="I150" s="7" t="str">
        <x:f>IF(G150&gt;=70,"A",IF(G150&gt;=60,"B",IF(G150&gt;=50,"C",IF(G150&gt;=40,"D","E"))))</x:f>
        <x:v>A</x:v>
      </x:c>
      <x:c r="J150" s="5" t="str">
        <x:f>IF(G150&gt;=70,"Excellent",IF(G150&gt;=60,"Very Good",IF(G150&gt;=50,"Good",IF(G150&gt;=40,"Fair","Needs Improvement"))))</x:f>
        <x:v>Excellent</x:v>
      </x:c>
      <x:c r="K150" s="6" t="n"/>
      <x:c r="L150" s="6" t="n"/>
      <x:c r="M150" s="6" t="n"/>
      <x:c r="N150" s="6" t="n"/>
      <x:c r="O150" s="10" t="n"/>
      <x:c r="P150" s="10" t="n"/>
    </x:row>
    <x:row r="151">
      <x:c r="A151" s="7" t="n"/>
      <x:c r="B151" s="5" t="n"/>
      <x:c r="C151" s="5" t="inlineStr">
        <x:is>
          <x:t xml:space="preserve">Business Studies</x:t>
        </x:is>
      </x:c>
      <x:c r="D151" s="6" t="n">
        <x:v>10</x:v>
      </x:c>
      <x:c r="E151" s="6" t="n">
        <x:v>20</x:v>
      </x:c>
      <x:c r="F151" s="6" t="n">
        <x:v>70</x:v>
      </x:c>
      <x:c r="G151" s="6">
        <x:f>D151+E151+F151</x:f>
        <x:v>100</x:v>
      </x:c>
      <x:c r="H151" s="6">
        <x:f>1+SUMPRODUCT(($C$2:$C$271=C151)*($G$2:$G$271&gt;G151))</x:f>
        <x:v>1</x:v>
      </x:c>
      <x:c r="I151" s="7" t="str">
        <x:f>IF(G151&gt;=70,"A",IF(G151&gt;=60,"B",IF(G151&gt;=50,"C",IF(G151&gt;=40,"D","E"))))</x:f>
        <x:v>A</x:v>
      </x:c>
      <x:c r="J151" s="5" t="str">
        <x:f>IF(G151&gt;=70,"Excellent",IF(G151&gt;=60,"Very Good",IF(G151&gt;=50,"Good",IF(G151&gt;=40,"Fair","Needs Improvement"))))</x:f>
        <x:v>Excellent</x:v>
      </x:c>
      <x:c r="K151" s="6" t="n"/>
      <x:c r="L151" s="6" t="n"/>
      <x:c r="M151" s="6" t="n"/>
      <x:c r="N151" s="6" t="n"/>
      <x:c r="O151" s="10" t="n"/>
      <x:c r="P151" s="10" t="n"/>
    </x:row>
    <x:row r="152">
      <x:c r="A152" s="7" t="n"/>
      <x:c r="B152" s="5" t="n"/>
      <x:c r="C152" s="5" t="inlineStr">
        <x:is>
          <x:t xml:space="preserve">Creative and Cultural Art</x:t>
        </x:is>
      </x:c>
      <x:c r="D152" s="6" t="n">
        <x:v>9</x:v>
      </x:c>
      <x:c r="E152" s="6" t="n">
        <x:v>19</x:v>
      </x:c>
      <x:c r="F152" s="6" t="n">
        <x:v>63</x:v>
      </x:c>
      <x:c r="G152" s="6">
        <x:f>D152+E152+F152</x:f>
        <x:v>91</x:v>
      </x:c>
      <x:c r="H152" s="6">
        <x:f>1+SUMPRODUCT(($C$2:$C$271=C152)*($G$2:$G$271&gt;G152))</x:f>
        <x:v>5</x:v>
      </x:c>
      <x:c r="I152" s="7" t="str">
        <x:f>IF(G152&gt;=70,"A",IF(G152&gt;=60,"B",IF(G152&gt;=50,"C",IF(G152&gt;=40,"D","E"))))</x:f>
        <x:v>A</x:v>
      </x:c>
      <x:c r="J152" s="5" t="str">
        <x:f>IF(G152&gt;=70,"Excellent",IF(G152&gt;=60,"Very Good",IF(G152&gt;=50,"Good",IF(G152&gt;=40,"Fair","Needs Improvement"))))</x:f>
        <x:v>Excellent</x:v>
      </x:c>
      <x:c r="K152" s="6" t="n"/>
      <x:c r="L152" s="6" t="n"/>
      <x:c r="M152" s="6" t="n"/>
      <x:c r="N152" s="6" t="n"/>
      <x:c r="O152" s="10" t="n"/>
      <x:c r="P152" s="10" t="n"/>
    </x:row>
    <x:row r="153">
      <x:c r="A153" s="7" t="n"/>
      <x:c r="B153" s="5" t="n"/>
      <x:c r="C153" s="5" t="inlineStr">
        <x:is>
          <x:t xml:space="preserve">Christian Religious Studies</x:t>
        </x:is>
      </x:c>
      <x:c r="D153" s="6" t="n">
        <x:v>6</x:v>
      </x:c>
      <x:c r="E153" s="6" t="n">
        <x:v>19</x:v>
      </x:c>
      <x:c r="F153" s="6" t="n">
        <x:v>64</x:v>
      </x:c>
      <x:c r="G153" s="6">
        <x:f>D153+E153+F153</x:f>
        <x:v>89</x:v>
      </x:c>
      <x:c r="H153" s="6">
        <x:f>1+SUMPRODUCT(($C$2:$C$271=C153)*($G$2:$G$271&gt;G153))</x:f>
        <x:v>4</x:v>
      </x:c>
      <x:c r="I153" s="7" t="str">
        <x:f>IF(G153&gt;=70,"A",IF(G153&gt;=60,"B",IF(G153&gt;=50,"C",IF(G153&gt;=40,"D","E"))))</x:f>
        <x:v>A</x:v>
      </x:c>
      <x:c r="J153" s="5" t="str">
        <x:f>IF(G153&gt;=70,"Excellent",IF(G153&gt;=60,"Very Good",IF(G153&gt;=50,"Good",IF(G153&gt;=40,"Fair","Needs Improvement"))))</x:f>
        <x:v>Excellent</x:v>
      </x:c>
      <x:c r="K153" s="6" t="n"/>
      <x:c r="L153" s="6" t="n"/>
      <x:c r="M153" s="6" t="n"/>
      <x:c r="N153" s="6" t="n"/>
      <x:c r="O153" s="10" t="n"/>
      <x:c r="P153" s="10" t="n"/>
    </x:row>
    <x:row r="154">
      <x:c r="A154" s="7" t="n"/>
      <x:c r="B154" s="5" t="n"/>
      <x:c r="C154" s="5" t="inlineStr">
        <x:is>
          <x:t xml:space="preserve">History Studies</x:t>
        </x:is>
      </x:c>
      <x:c r="D154" s="6" t="n">
        <x:v>10</x:v>
      </x:c>
      <x:c r="E154" s="6" t="n">
        <x:v>14</x:v>
      </x:c>
      <x:c r="F154" s="6" t="n">
        <x:v>57</x:v>
      </x:c>
      <x:c r="G154" s="6">
        <x:f>D154+E154+F154</x:f>
        <x:v>81</x:v>
      </x:c>
      <x:c r="H154" s="6">
        <x:f>1+SUMPRODUCT(($C$2:$C$271=C154)*($G$2:$G$271&gt;G154))</x:f>
        <x:v>10</x:v>
      </x:c>
      <x:c r="I154" s="7" t="str">
        <x:f>IF(G154&gt;=70,"A",IF(G154&gt;=60,"B",IF(G154&gt;=50,"C",IF(G154&gt;=40,"D","E"))))</x:f>
        <x:v>A</x:v>
      </x:c>
      <x:c r="J154" s="5" t="str">
        <x:f>IF(G154&gt;=70,"Excellent",IF(G154&gt;=60,"Very Good",IF(G154&gt;=50,"Good",IF(G154&gt;=40,"Fair","Needs Improvement"))))</x:f>
        <x:v>Excellent</x:v>
      </x:c>
      <x:c r="K154" s="6" t="n"/>
      <x:c r="L154" s="6" t="n"/>
      <x:c r="M154" s="6" t="n"/>
      <x:c r="N154" s="6" t="n"/>
      <x:c r="O154" s="10" t="n"/>
      <x:c r="P154" s="10" t="n"/>
    </x:row>
    <x:row r="155">
      <x:c r="A155" s="3" t="n">
        <x:v>18</x:v>
      </x:c>
      <x:c r="B155" s="4" t="inlineStr">
        <x:is>
          <x:t xml:space="preserve">Deborah Abdullahi</x:t>
        </x:is>
      </x:c>
      <x:c r="C155" s="5" t="inlineStr">
        <x:is>
          <x:t xml:space="preserve">Mathematics</x:t>
        </x:is>
      </x:c>
      <x:c r="D155" s="6" t="n">
        <x:v>7</x:v>
      </x:c>
      <x:c r="E155" s="6" t="n">
        <x:v>19</x:v>
      </x:c>
      <x:c r="F155" s="6" t="n">
        <x:v>58</x:v>
      </x:c>
      <x:c r="G155" s="6">
        <x:f>D155+E155+F155</x:f>
        <x:v>84</x:v>
      </x:c>
      <x:c r="H155" s="6">
        <x:f>1+SUMPRODUCT(($C$2:$C$271=C155)*($G$2:$G$271&gt;G155))</x:f>
        <x:v>2</x:v>
      </x:c>
      <x:c r="I155" s="7" t="str">
        <x:f>IF(G155&gt;=70,"A",IF(G155&gt;=60,"B",IF(G155&gt;=50,"C",IF(G155&gt;=40,"D","E"))))</x:f>
        <x:v>A</x:v>
      </x:c>
      <x:c r="J155" s="5" t="str">
        <x:f>IF(G155&gt;=70,"Excellent",IF(G155&gt;=60,"Very Good",IF(G155&gt;=50,"Good",IF(G155&gt;=40,"Fair","Needs Improvement"))))</x:f>
        <x:v>Excellent</x:v>
      </x:c>
      <x:c r="K155" s="8">
        <x:f>SUM(D155:D163)</x:f>
        <x:v>68</x:v>
      </x:c>
      <x:c r="L155" s="8">
        <x:f>SUM(E155:E163)</x:f>
        <x:v>135</x:v>
      </x:c>
      <x:c r="M155" s="8">
        <x:f>SUM(F155:F163)</x:f>
        <x:v>510</x:v>
      </x:c>
      <x:c r="N155" s="8">
        <x:f>SUM(G155:G163)</x:f>
        <x:v>713</x:v>
      </x:c>
      <x:c r="O155" s="9">
        <x:f>ROUND(AVERAGE(G155:G163),2)</x:f>
        <x:v>79.22</x:v>
      </x:c>
      <x:c r="P155" s="9">
        <x:f>ROUND(AVERAGE($G$2:$G$271),2)</x:f>
        <x:v>67.88</x:v>
      </x:c>
    </x:row>
    <x:row r="156">
      <x:c r="A156" s="7" t="n"/>
      <x:c r="B156" s="5" t="n"/>
      <x:c r="C156" s="5" t="inlineStr">
        <x:is>
          <x:t xml:space="preserve">English Studies</x:t>
        </x:is>
      </x:c>
      <x:c r="D156" s="6" t="n">
        <x:v>7</x:v>
      </x:c>
      <x:c r="E156" s="6" t="n">
        <x:v>11</x:v>
      </x:c>
      <x:c r="F156" s="6" t="n">
        <x:v>51</x:v>
      </x:c>
      <x:c r="G156" s="6">
        <x:f>D156+E156+F156</x:f>
        <x:v>69</x:v>
      </x:c>
      <x:c r="H156" s="6">
        <x:f>1+SUMPRODUCT(($C$2:$C$271=C156)*($G$2:$G$271&gt;G156))</x:f>
        <x:v>14</x:v>
      </x:c>
      <x:c r="I156" s="7" t="str">
        <x:f>IF(G156&gt;=70,"A",IF(G156&gt;=60,"B",IF(G156&gt;=50,"C",IF(G156&gt;=40,"D","E"))))</x:f>
        <x:v>B</x:v>
      </x:c>
      <x:c r="J156" s="5" t="str">
        <x:f>IF(G156&gt;=70,"Excellent",IF(G156&gt;=60,"Very Good",IF(G156&gt;=50,"Good",IF(G156&gt;=40,"Fair","Needs Improvement"))))</x:f>
        <x:v>Very Good</x:v>
      </x:c>
      <x:c r="K156" s="6" t="n"/>
      <x:c r="L156" s="6" t="n"/>
      <x:c r="M156" s="6" t="n"/>
      <x:c r="N156" s="6" t="n"/>
      <x:c r="O156" s="10" t="n"/>
      <x:c r="P156" s="10" t="n"/>
    </x:row>
    <x:row r="157">
      <x:c r="A157" s="7" t="n"/>
      <x:c r="B157" s="5" t="n"/>
      <x:c r="C157" s="5" t="inlineStr">
        <x:is>
          <x:t xml:space="preserve">Basic Science and Technology</x:t>
        </x:is>
      </x:c>
      <x:c r="D157" s="6" t="n">
        <x:v>7</x:v>
      </x:c>
      <x:c r="E157" s="6" t="n">
        <x:v>16</x:v>
      </x:c>
      <x:c r="F157" s="6" t="n">
        <x:v>62</x:v>
      </x:c>
      <x:c r="G157" s="6">
        <x:f>D157+E157+F157</x:f>
        <x:v>85</x:v>
      </x:c>
      <x:c r="H157" s="6">
        <x:f>1+SUMPRODUCT(($C$2:$C$271=C157)*($G$2:$G$271&gt;G157))</x:f>
        <x:v>4</x:v>
      </x:c>
      <x:c r="I157" s="7" t="str">
        <x:f>IF(G157&gt;=70,"A",IF(G157&gt;=60,"B",IF(G157&gt;=50,"C",IF(G157&gt;=40,"D","E"))))</x:f>
        <x:v>A</x:v>
      </x:c>
      <x:c r="J157" s="5" t="str">
        <x:f>IF(G157&gt;=70,"Excellent",IF(G157&gt;=60,"Very Good",IF(G157&gt;=50,"Good",IF(G157&gt;=40,"Fair","Needs Improvement"))))</x:f>
        <x:v>Excellent</x:v>
      </x:c>
      <x:c r="K157" s="6" t="n"/>
      <x:c r="L157" s="6" t="n"/>
      <x:c r="M157" s="6" t="n"/>
      <x:c r="N157" s="6" t="n"/>
      <x:c r="O157" s="10" t="n"/>
      <x:c r="P157" s="10" t="n"/>
    </x:row>
    <x:row r="158">
      <x:c r="A158" s="7" t="n"/>
      <x:c r="B158" s="5" t="n"/>
      <x:c r="C158" s="5" t="inlineStr">
        <x:is>
          <x:t xml:space="preserve">Pre-Vocational Studies</x:t>
        </x:is>
      </x:c>
      <x:c r="D158" s="6" t="n">
        <x:v>9</x:v>
      </x:c>
      <x:c r="E158" s="6" t="n">
        <x:v>12</x:v>
      </x:c>
      <x:c r="F158" s="6" t="n">
        <x:v>57</x:v>
      </x:c>
      <x:c r="G158" s="6">
        <x:f>D158+E158+F158</x:f>
        <x:v>78</x:v>
      </x:c>
      <x:c r="H158" s="6">
        <x:f>1+SUMPRODUCT(($C$2:$C$271=C158)*($G$2:$G$271&gt;G158))</x:f>
        <x:v>5</x:v>
      </x:c>
      <x:c r="I158" s="7" t="str">
        <x:f>IF(G158&gt;=70,"A",IF(G158&gt;=60,"B",IF(G158&gt;=50,"C",IF(G158&gt;=40,"D","E"))))</x:f>
        <x:v>A</x:v>
      </x:c>
      <x:c r="J158" s="5" t="str">
        <x:f>IF(G158&gt;=70,"Excellent",IF(G158&gt;=60,"Very Good",IF(G158&gt;=50,"Good",IF(G158&gt;=40,"Fair","Needs Improvement"))))</x:f>
        <x:v>Excellent</x:v>
      </x:c>
      <x:c r="K158" s="6" t="n"/>
      <x:c r="L158" s="6" t="n"/>
      <x:c r="M158" s="6" t="n"/>
      <x:c r="N158" s="6" t="n"/>
      <x:c r="O158" s="10" t="n"/>
      <x:c r="P158" s="10" t="n"/>
    </x:row>
    <x:row r="159">
      <x:c r="A159" s="7" t="n"/>
      <x:c r="B159" s="5" t="n"/>
      <x:c r="C159" s="5" t="inlineStr">
        <x:is>
          <x:t xml:space="preserve">National Value</x:t>
        </x:is>
      </x:c>
      <x:c r="D159" s="6" t="n">
        <x:v>5</x:v>
      </x:c>
      <x:c r="E159" s="6" t="n">
        <x:v>16</x:v>
      </x:c>
      <x:c r="F159" s="6" t="n">
        <x:v>47</x:v>
      </x:c>
      <x:c r="G159" s="6">
        <x:f>D159+E159+F159</x:f>
        <x:v>68</x:v>
      </x:c>
      <x:c r="H159" s="6">
        <x:f>1+SUMPRODUCT(($C$2:$C$271=C159)*($G$2:$G$271&gt;G159))</x:f>
        <x:v>20</x:v>
      </x:c>
      <x:c r="I159" s="7" t="str">
        <x:f>IF(G159&gt;=70,"A",IF(G159&gt;=60,"B",IF(G159&gt;=50,"C",IF(G159&gt;=40,"D","E"))))</x:f>
        <x:v>B</x:v>
      </x:c>
      <x:c r="J159" s="5" t="str">
        <x:f>IF(G159&gt;=70,"Excellent",IF(G159&gt;=60,"Very Good",IF(G159&gt;=50,"Good",IF(G159&gt;=40,"Fair","Needs Improvement"))))</x:f>
        <x:v>Very Good</x:v>
      </x:c>
      <x:c r="K159" s="6" t="n"/>
      <x:c r="L159" s="6" t="n"/>
      <x:c r="M159" s="6" t="n"/>
      <x:c r="N159" s="6" t="n"/>
      <x:c r="O159" s="10" t="n"/>
      <x:c r="P159" s="10" t="n"/>
    </x:row>
    <x:row r="160">
      <x:c r="A160" s="7" t="n"/>
      <x:c r="B160" s="5" t="n"/>
      <x:c r="C160" s="5" t="inlineStr">
        <x:is>
          <x:t xml:space="preserve">Business Studies</x:t>
        </x:is>
      </x:c>
      <x:c r="D160" s="6" t="n">
        <x:v>10</x:v>
      </x:c>
      <x:c r="E160" s="6" t="n">
        <x:v>16</x:v>
      </x:c>
      <x:c r="F160" s="6" t="n">
        <x:v>58</x:v>
      </x:c>
      <x:c r="G160" s="6">
        <x:f>D160+E160+F160</x:f>
        <x:v>84</x:v>
      </x:c>
      <x:c r="H160" s="6">
        <x:f>1+SUMPRODUCT(($C$2:$C$271=C160)*($G$2:$G$271&gt;G160))</x:f>
        <x:v>7</x:v>
      </x:c>
      <x:c r="I160" s="7" t="str">
        <x:f>IF(G160&gt;=70,"A",IF(G160&gt;=60,"B",IF(G160&gt;=50,"C",IF(G160&gt;=40,"D","E"))))</x:f>
        <x:v>A</x:v>
      </x:c>
      <x:c r="J160" s="5" t="str">
        <x:f>IF(G160&gt;=70,"Excellent",IF(G160&gt;=60,"Very Good",IF(G160&gt;=50,"Good",IF(G160&gt;=40,"Fair","Needs Improvement"))))</x:f>
        <x:v>Excellent</x:v>
      </x:c>
      <x:c r="K160" s="6" t="n"/>
      <x:c r="L160" s="6" t="n"/>
      <x:c r="M160" s="6" t="n"/>
      <x:c r="N160" s="6" t="n"/>
      <x:c r="O160" s="10" t="n"/>
      <x:c r="P160" s="10" t="n"/>
    </x:row>
    <x:row r="161">
      <x:c r="A161" s="7" t="n"/>
      <x:c r="B161" s="5" t="n"/>
      <x:c r="C161" s="5" t="inlineStr">
        <x:is>
          <x:t xml:space="preserve">Creative and Cultural Art</x:t>
        </x:is>
      </x:c>
      <x:c r="D161" s="6" t="n">
        <x:v>7</x:v>
      </x:c>
      <x:c r="E161" s="6" t="n">
        <x:v>14</x:v>
      </x:c>
      <x:c r="F161" s="6" t="n">
        <x:v>55</x:v>
      </x:c>
      <x:c r="G161" s="6">
        <x:f>D161+E161+F161</x:f>
        <x:v>76</x:v>
      </x:c>
      <x:c r="H161" s="6">
        <x:f>1+SUMPRODUCT(($C$2:$C$271=C161)*($G$2:$G$271&gt;G161))</x:f>
        <x:v>11</x:v>
      </x:c>
      <x:c r="I161" s="7" t="str">
        <x:f>IF(G161&gt;=70,"A",IF(G161&gt;=60,"B",IF(G161&gt;=50,"C",IF(G161&gt;=40,"D","E"))))</x:f>
        <x:v>A</x:v>
      </x:c>
      <x:c r="J161" s="5" t="str">
        <x:f>IF(G161&gt;=70,"Excellent",IF(G161&gt;=60,"Very Good",IF(G161&gt;=50,"Good",IF(G161&gt;=40,"Fair","Needs Improvement"))))</x:f>
        <x:v>Excellent</x:v>
      </x:c>
      <x:c r="K161" s="6" t="n"/>
      <x:c r="L161" s="6" t="n"/>
      <x:c r="M161" s="6" t="n"/>
      <x:c r="N161" s="6" t="n"/>
      <x:c r="O161" s="10" t="n"/>
      <x:c r="P161" s="10" t="n"/>
    </x:row>
    <x:row r="162">
      <x:c r="A162" s="7" t="n"/>
      <x:c r="B162" s="5" t="n"/>
      <x:c r="C162" s="5" t="inlineStr">
        <x:is>
          <x:t xml:space="preserve">Christian Religious Studies</x:t>
        </x:is>
      </x:c>
      <x:c r="D162" s="6" t="n">
        <x:v>9</x:v>
      </x:c>
      <x:c r="E162" s="6" t="n">
        <x:v>12</x:v>
      </x:c>
      <x:c r="F162" s="6" t="n">
        <x:v>66</x:v>
      </x:c>
      <x:c r="G162" s="6">
        <x:f>D162+E162+F162</x:f>
        <x:v>87</x:v>
      </x:c>
      <x:c r="H162" s="6">
        <x:f>1+SUMPRODUCT(($C$2:$C$271=C162)*($G$2:$G$271&gt;G162))</x:f>
        <x:v>6</x:v>
      </x:c>
      <x:c r="I162" s="7" t="str">
        <x:f>IF(G162&gt;=70,"A",IF(G162&gt;=60,"B",IF(G162&gt;=50,"C",IF(G162&gt;=40,"D","E"))))</x:f>
        <x:v>A</x:v>
      </x:c>
      <x:c r="J162" s="5" t="str">
        <x:f>IF(G162&gt;=70,"Excellent",IF(G162&gt;=60,"Very Good",IF(G162&gt;=50,"Good",IF(G162&gt;=40,"Fair","Needs Improvement"))))</x:f>
        <x:v>Excellent</x:v>
      </x:c>
      <x:c r="K162" s="6" t="n"/>
      <x:c r="L162" s="6" t="n"/>
      <x:c r="M162" s="6" t="n"/>
      <x:c r="N162" s="6" t="n"/>
      <x:c r="O162" s="10" t="n"/>
      <x:c r="P162" s="10" t="n"/>
    </x:row>
    <x:row r="163">
      <x:c r="A163" s="7" t="n"/>
      <x:c r="B163" s="5" t="n"/>
      <x:c r="C163" s="5" t="inlineStr">
        <x:is>
          <x:t xml:space="preserve">History Studies</x:t>
        </x:is>
      </x:c>
      <x:c r="D163" s="6" t="n">
        <x:v>7</x:v>
      </x:c>
      <x:c r="E163" s="6" t="n">
        <x:v>19</x:v>
      </x:c>
      <x:c r="F163" s="6" t="n">
        <x:v>56</x:v>
      </x:c>
      <x:c r="G163" s="6">
        <x:f>D163+E163+F163</x:f>
        <x:v>82</x:v>
      </x:c>
      <x:c r="H163" s="6">
        <x:f>1+SUMPRODUCT(($C$2:$C$271=C163)*($G$2:$G$271&gt;G163))</x:f>
        <x:v>9</x:v>
      </x:c>
      <x:c r="I163" s="7" t="str">
        <x:f>IF(G163&gt;=70,"A",IF(G163&gt;=60,"B",IF(G163&gt;=50,"C",IF(G163&gt;=40,"D","E"))))</x:f>
        <x:v>A</x:v>
      </x:c>
      <x:c r="J163" s="5" t="str">
        <x:f>IF(G163&gt;=70,"Excellent",IF(G163&gt;=60,"Very Good",IF(G163&gt;=50,"Good",IF(G163&gt;=40,"Fair","Needs Improvement"))))</x:f>
        <x:v>Excellent</x:v>
      </x:c>
      <x:c r="K163" s="6" t="n"/>
      <x:c r="L163" s="6" t="n"/>
      <x:c r="M163" s="6" t="n"/>
      <x:c r="N163" s="6" t="n"/>
      <x:c r="O163" s="10" t="n"/>
      <x:c r="P163" s="10" t="n"/>
    </x:row>
    <x:row r="164">
      <x:c r="A164" s="3" t="n">
        <x:v>19</x:v>
      </x:c>
      <x:c r="B164" s="4" t="inlineStr">
        <x:is>
          <x:t xml:space="preserve">John Bassey</x:t>
        </x:is>
      </x:c>
      <x:c r="C164" s="5" t="inlineStr">
        <x:is>
          <x:t xml:space="preserve">Mathematics</x:t>
        </x:is>
      </x:c>
      <x:c r="D164" s="6" t="n">
        <x:v>7</x:v>
      </x:c>
      <x:c r="E164" s="6" t="n">
        <x:v>9</x:v>
      </x:c>
      <x:c r="F164" s="6" t="n">
        <x:v>52</x:v>
      </x:c>
      <x:c r="G164" s="6">
        <x:f>D164+E164+F164</x:f>
        <x:v>68</x:v>
      </x:c>
      <x:c r="H164" s="6">
        <x:f>1+SUMPRODUCT(($C$2:$C$271=C164)*($G$2:$G$271&gt;G164))</x:f>
        <x:v>11</x:v>
      </x:c>
      <x:c r="I164" s="7" t="str">
        <x:f>IF(G164&gt;=70,"A",IF(G164&gt;=60,"B",IF(G164&gt;=50,"C",IF(G164&gt;=40,"D","E"))))</x:f>
        <x:v>B</x:v>
      </x:c>
      <x:c r="J164" s="5" t="str">
        <x:f>IF(G164&gt;=70,"Excellent",IF(G164&gt;=60,"Very Good",IF(G164&gt;=50,"Good",IF(G164&gt;=40,"Fair","Needs Improvement"))))</x:f>
        <x:v>Very Good</x:v>
      </x:c>
      <x:c r="K164" s="8">
        <x:f>SUM(D164:D172)</x:f>
        <x:v>77</x:v>
      </x:c>
      <x:c r="L164" s="8">
        <x:f>SUM(E164:E172)</x:f>
        <x:v>149</x:v>
      </x:c>
      <x:c r="M164" s="8">
        <x:f>SUM(F164:F172)</x:f>
        <x:v>501</x:v>
      </x:c>
      <x:c r="N164" s="8">
        <x:f>SUM(G164:G172)</x:f>
        <x:v>727</x:v>
      </x:c>
      <x:c r="O164" s="9">
        <x:f>ROUND(AVERAGE(G164:G172),2)</x:f>
        <x:v>80.78</x:v>
      </x:c>
      <x:c r="P164" s="9">
        <x:f>ROUND(AVERAGE($G$2:$G$271),2)</x:f>
        <x:v>67.88</x:v>
      </x:c>
    </x:row>
    <x:row r="165">
      <x:c r="A165" s="7" t="n"/>
      <x:c r="B165" s="5" t="n"/>
      <x:c r="C165" s="5" t="inlineStr">
        <x:is>
          <x:t xml:space="preserve">English Studies</x:t>
        </x:is>
      </x:c>
      <x:c r="D165" s="6" t="n">
        <x:v>10</x:v>
      </x:c>
      <x:c r="E165" s="6" t="n">
        <x:v>17</x:v>
      </x:c>
      <x:c r="F165" s="6" t="n">
        <x:v>58</x:v>
      </x:c>
      <x:c r="G165" s="6">
        <x:f>D165+E165+F165</x:f>
        <x:v>85</x:v>
      </x:c>
      <x:c r="H165" s="6">
        <x:f>1+SUMPRODUCT(($C$2:$C$271=C165)*($G$2:$G$271&gt;G165))</x:f>
        <x:v>5</x:v>
      </x:c>
      <x:c r="I165" s="7" t="str">
        <x:f>IF(G165&gt;=70,"A",IF(G165&gt;=60,"B",IF(G165&gt;=50,"C",IF(G165&gt;=40,"D","E"))))</x:f>
        <x:v>A</x:v>
      </x:c>
      <x:c r="J165" s="5" t="str">
        <x:f>IF(G165&gt;=70,"Excellent",IF(G165&gt;=60,"Very Good",IF(G165&gt;=50,"Good",IF(G165&gt;=40,"Fair","Needs Improvement"))))</x:f>
        <x:v>Excellent</x:v>
      </x:c>
      <x:c r="K165" s="6" t="n"/>
      <x:c r="L165" s="6" t="n"/>
      <x:c r="M165" s="6" t="n"/>
      <x:c r="N165" s="6" t="n"/>
      <x:c r="O165" s="10" t="n"/>
      <x:c r="P165" s="10" t="n"/>
    </x:row>
    <x:row r="166">
      <x:c r="A166" s="7" t="n"/>
      <x:c r="B166" s="5" t="n"/>
      <x:c r="C166" s="5" t="inlineStr">
        <x:is>
          <x:t xml:space="preserve">Basic Science and Technology</x:t>
        </x:is>
      </x:c>
      <x:c r="D166" s="6" t="n">
        <x:v>8</x:v>
      </x:c>
      <x:c r="E166" s="6" t="n">
        <x:v>14</x:v>
      </x:c>
      <x:c r="F166" s="6" t="n">
        <x:v>56</x:v>
      </x:c>
      <x:c r="G166" s="6">
        <x:f>D166+E166+F166</x:f>
        <x:v>78</x:v>
      </x:c>
      <x:c r="H166" s="6">
        <x:f>1+SUMPRODUCT(($C$2:$C$271=C166)*($G$2:$G$271&gt;G166))</x:f>
        <x:v>9</x:v>
      </x:c>
      <x:c r="I166" s="7" t="str">
        <x:f>IF(G166&gt;=70,"A",IF(G166&gt;=60,"B",IF(G166&gt;=50,"C",IF(G166&gt;=40,"D","E"))))</x:f>
        <x:v>A</x:v>
      </x:c>
      <x:c r="J166" s="5" t="str">
        <x:f>IF(G166&gt;=70,"Excellent",IF(G166&gt;=60,"Very Good",IF(G166&gt;=50,"Good",IF(G166&gt;=40,"Fair","Needs Improvement"))))</x:f>
        <x:v>Excellent</x:v>
      </x:c>
      <x:c r="K166" s="6" t="n"/>
      <x:c r="L166" s="6" t="n"/>
      <x:c r="M166" s="6" t="n"/>
      <x:c r="N166" s="6" t="n"/>
      <x:c r="O166" s="10" t="n"/>
      <x:c r="P166" s="10" t="n"/>
    </x:row>
    <x:row r="167">
      <x:c r="A167" s="7" t="n"/>
      <x:c r="B167" s="5" t="n"/>
      <x:c r="C167" s="5" t="inlineStr">
        <x:is>
          <x:t xml:space="preserve">Pre-Vocational Studies</x:t>
        </x:is>
      </x:c>
      <x:c r="D167" s="6" t="n">
        <x:v>8</x:v>
      </x:c>
      <x:c r="E167" s="6" t="n">
        <x:v>11</x:v>
      </x:c>
      <x:c r="F167" s="6" t="n">
        <x:v>61</x:v>
      </x:c>
      <x:c r="G167" s="6">
        <x:f>D167+E167+F167</x:f>
        <x:v>80</x:v>
      </x:c>
      <x:c r="H167" s="6">
        <x:f>1+SUMPRODUCT(($C$2:$C$271=C167)*($G$2:$G$271&gt;G167))</x:f>
        <x:v>4</x:v>
      </x:c>
      <x:c r="I167" s="7" t="str">
        <x:f>IF(G167&gt;=70,"A",IF(G167&gt;=60,"B",IF(G167&gt;=50,"C",IF(G167&gt;=40,"D","E"))))</x:f>
        <x:v>A</x:v>
      </x:c>
      <x:c r="J167" s="5" t="str">
        <x:f>IF(G167&gt;=70,"Excellent",IF(G167&gt;=60,"Very Good",IF(G167&gt;=50,"Good",IF(G167&gt;=40,"Fair","Needs Improvement"))))</x:f>
        <x:v>Excellent</x:v>
      </x:c>
      <x:c r="K167" s="6" t="n"/>
      <x:c r="L167" s="6" t="n"/>
      <x:c r="M167" s="6" t="n"/>
      <x:c r="N167" s="6" t="n"/>
      <x:c r="O167" s="10" t="n"/>
      <x:c r="P167" s="10" t="n"/>
    </x:row>
    <x:row r="168">
      <x:c r="A168" s="7" t="n"/>
      <x:c r="B168" s="5" t="n"/>
      <x:c r="C168" s="5" t="inlineStr">
        <x:is>
          <x:t xml:space="preserve">National Value</x:t>
        </x:is>
      </x:c>
      <x:c r="D168" s="6" t="n">
        <x:v>10</x:v>
      </x:c>
      <x:c r="E168" s="6" t="n">
        <x:v>20</x:v>
      </x:c>
      <x:c r="F168" s="6" t="n">
        <x:v>61</x:v>
      </x:c>
      <x:c r="G168" s="6">
        <x:f>D168+E168+F168</x:f>
        <x:v>91</x:v>
      </x:c>
      <x:c r="H168" s="6">
        <x:f>1+SUMPRODUCT(($C$2:$C$271=C168)*($G$2:$G$271&gt;G168))</x:f>
        <x:v>3</x:v>
      </x:c>
      <x:c r="I168" s="7" t="str">
        <x:f>IF(G168&gt;=70,"A",IF(G168&gt;=60,"B",IF(G168&gt;=50,"C",IF(G168&gt;=40,"D","E"))))</x:f>
        <x:v>A</x:v>
      </x:c>
      <x:c r="J168" s="5" t="str">
        <x:f>IF(G168&gt;=70,"Excellent",IF(G168&gt;=60,"Very Good",IF(G168&gt;=50,"Good",IF(G168&gt;=40,"Fair","Needs Improvement"))))</x:f>
        <x:v>Excellent</x:v>
      </x:c>
      <x:c r="K168" s="6" t="n"/>
      <x:c r="L168" s="6" t="n"/>
      <x:c r="M168" s="6" t="n"/>
      <x:c r="N168" s="6" t="n"/>
      <x:c r="O168" s="10" t="n"/>
      <x:c r="P168" s="10" t="n"/>
    </x:row>
    <x:row r="169">
      <x:c r="A169" s="7" t="n"/>
      <x:c r="B169" s="5" t="n"/>
      <x:c r="C169" s="5" t="inlineStr">
        <x:is>
          <x:t xml:space="preserve">Business Studies</x:t>
        </x:is>
      </x:c>
      <x:c r="D169" s="6" t="n">
        <x:v>10</x:v>
      </x:c>
      <x:c r="E169" s="6" t="n">
        <x:v>19</x:v>
      </x:c>
      <x:c r="F169" s="6" t="n">
        <x:v>55</x:v>
      </x:c>
      <x:c r="G169" s="6">
        <x:f>D169+E169+F169</x:f>
        <x:v>84</x:v>
      </x:c>
      <x:c r="H169" s="6">
        <x:f>1+SUMPRODUCT(($C$2:$C$271=C169)*($G$2:$G$271&gt;G169))</x:f>
        <x:v>7</x:v>
      </x:c>
      <x:c r="I169" s="7" t="str">
        <x:f>IF(G169&gt;=70,"A",IF(G169&gt;=60,"B",IF(G169&gt;=50,"C",IF(G169&gt;=40,"D","E"))))</x:f>
        <x:v>A</x:v>
      </x:c>
      <x:c r="J169" s="5" t="str">
        <x:f>IF(G169&gt;=70,"Excellent",IF(G169&gt;=60,"Very Good",IF(G169&gt;=50,"Good",IF(G169&gt;=40,"Fair","Needs Improvement"))))</x:f>
        <x:v>Excellent</x:v>
      </x:c>
      <x:c r="K169" s="6" t="n"/>
      <x:c r="L169" s="6" t="n"/>
      <x:c r="M169" s="6" t="n"/>
      <x:c r="N169" s="6" t="n"/>
      <x:c r="O169" s="10" t="n"/>
      <x:c r="P169" s="10" t="n"/>
    </x:row>
    <x:row r="170">
      <x:c r="A170" s="7" t="n"/>
      <x:c r="B170" s="5" t="n"/>
      <x:c r="C170" s="5" t="inlineStr">
        <x:is>
          <x:t xml:space="preserve">Creative and Cultural Art</x:t>
        </x:is>
      </x:c>
      <x:c r="D170" s="6" t="n">
        <x:v>8</x:v>
      </x:c>
      <x:c r="E170" s="6" t="n">
        <x:v>20</x:v>
      </x:c>
      <x:c r="F170" s="6" t="n">
        <x:v>47</x:v>
      </x:c>
      <x:c r="G170" s="6">
        <x:f>D170+E170+F170</x:f>
        <x:v>75</x:v>
      </x:c>
      <x:c r="H170" s="6">
        <x:f>1+SUMPRODUCT(($C$2:$C$271=C170)*($G$2:$G$271&gt;G170))</x:f>
        <x:v>12</x:v>
      </x:c>
      <x:c r="I170" s="7" t="str">
        <x:f>IF(G170&gt;=70,"A",IF(G170&gt;=60,"B",IF(G170&gt;=50,"C",IF(G170&gt;=40,"D","E"))))</x:f>
        <x:v>A</x:v>
      </x:c>
      <x:c r="J170" s="5" t="str">
        <x:f>IF(G170&gt;=70,"Excellent",IF(G170&gt;=60,"Very Good",IF(G170&gt;=50,"Good",IF(G170&gt;=40,"Fair","Needs Improvement"))))</x:f>
        <x:v>Excellent</x:v>
      </x:c>
      <x:c r="K170" s="6" t="n"/>
      <x:c r="L170" s="6" t="n"/>
      <x:c r="M170" s="6" t="n"/>
      <x:c r="N170" s="6" t="n"/>
      <x:c r="O170" s="10" t="n"/>
      <x:c r="P170" s="10" t="n"/>
    </x:row>
    <x:row r="171">
      <x:c r="A171" s="7" t="n"/>
      <x:c r="B171" s="5" t="n"/>
      <x:c r="C171" s="5" t="inlineStr">
        <x:is>
          <x:t xml:space="preserve">Christian Religious Studies</x:t>
        </x:is>
      </x:c>
      <x:c r="D171" s="6" t="n">
        <x:v>6</x:v>
      </x:c>
      <x:c r="E171" s="6" t="n">
        <x:v>20</x:v>
      </x:c>
      <x:c r="F171" s="6" t="n">
        <x:v>56</x:v>
      </x:c>
      <x:c r="G171" s="6">
        <x:f>D171+E171+F171</x:f>
        <x:v>82</x:v>
      </x:c>
      <x:c r="H171" s="6">
        <x:f>1+SUMPRODUCT(($C$2:$C$271=C171)*($G$2:$G$271&gt;G171))</x:f>
        <x:v>9</x:v>
      </x:c>
      <x:c r="I171" s="7" t="str">
        <x:f>IF(G171&gt;=70,"A",IF(G171&gt;=60,"B",IF(G171&gt;=50,"C",IF(G171&gt;=40,"D","E"))))</x:f>
        <x:v>A</x:v>
      </x:c>
      <x:c r="J171" s="5" t="str">
        <x:f>IF(G171&gt;=70,"Excellent",IF(G171&gt;=60,"Very Good",IF(G171&gt;=50,"Good",IF(G171&gt;=40,"Fair","Needs Improvement"))))</x:f>
        <x:v>Excellent</x:v>
      </x:c>
      <x:c r="K171" s="6" t="n"/>
      <x:c r="L171" s="6" t="n"/>
      <x:c r="M171" s="6" t="n"/>
      <x:c r="N171" s="6" t="n"/>
      <x:c r="O171" s="10" t="n"/>
      <x:c r="P171" s="10" t="n"/>
    </x:row>
    <x:row r="172">
      <x:c r="A172" s="7" t="n"/>
      <x:c r="B172" s="5" t="n"/>
      <x:c r="C172" s="5" t="inlineStr">
        <x:is>
          <x:t xml:space="preserve">History Studies</x:t>
        </x:is>
      </x:c>
      <x:c r="D172" s="6" t="n">
        <x:v>10</x:v>
      </x:c>
      <x:c r="E172" s="6" t="n">
        <x:v>19</x:v>
      </x:c>
      <x:c r="F172" s="6" t="n">
        <x:v>55</x:v>
      </x:c>
      <x:c r="G172" s="6">
        <x:f>D172+E172+F172</x:f>
        <x:v>84</x:v>
      </x:c>
      <x:c r="H172" s="6">
        <x:f>1+SUMPRODUCT(($C$2:$C$271=C172)*($G$2:$G$271&gt;G172))</x:f>
        <x:v>5</x:v>
      </x:c>
      <x:c r="I172" s="7" t="str">
        <x:f>IF(G172&gt;=70,"A",IF(G172&gt;=60,"B",IF(G172&gt;=50,"C",IF(G172&gt;=40,"D","E"))))</x:f>
        <x:v>A</x:v>
      </x:c>
      <x:c r="J172" s="5" t="str">
        <x:f>IF(G172&gt;=70,"Excellent",IF(G172&gt;=60,"Very Good",IF(G172&gt;=50,"Good",IF(G172&gt;=40,"Fair","Needs Improvement"))))</x:f>
        <x:v>Excellent</x:v>
      </x:c>
      <x:c r="K172" s="6" t="n"/>
      <x:c r="L172" s="6" t="n"/>
      <x:c r="M172" s="6" t="n"/>
      <x:c r="N172" s="6" t="n"/>
      <x:c r="O172" s="10" t="n"/>
      <x:c r="P172" s="10" t="n"/>
    </x:row>
    <x:row r="173">
      <x:c r="A173" s="3" t="n">
        <x:v>20</x:v>
      </x:c>
      <x:c r="B173" s="4" t="inlineStr">
        <x:is>
          <x:t xml:space="preserve">Peace Ogunleye</x:t>
        </x:is>
      </x:c>
      <x:c r="C173" s="5" t="inlineStr">
        <x:is>
          <x:t xml:space="preserve">Mathematics</x:t>
        </x:is>
      </x:c>
      <x:c r="D173" s="6" t="n">
        <x:v>4</x:v>
      </x:c>
      <x:c r="E173" s="6" t="n">
        <x:v>7</x:v>
      </x:c>
      <x:c r="F173" s="6" t="n">
        <x:v>25</x:v>
      </x:c>
      <x:c r="G173" s="6">
        <x:f>D173+E173+F173</x:f>
        <x:v>36</x:v>
      </x:c>
      <x:c r="H173" s="6">
        <x:f>1+SUMPRODUCT(($C$2:$C$271=C173)*($G$2:$G$271&gt;G173))</x:f>
        <x:v>28</x:v>
      </x:c>
      <x:c r="I173" s="7" t="str">
        <x:f>IF(G173&gt;=70,"A",IF(G173&gt;=60,"B",IF(G173&gt;=50,"C",IF(G173&gt;=40,"D","E"))))</x:f>
        <x:v>E</x:v>
      </x:c>
      <x:c r="J173" s="5" t="str">
        <x:f>IF(G173&gt;=70,"Excellent",IF(G173&gt;=60,"Very Good",IF(G173&gt;=50,"Good",IF(G173&gt;=40,"Fair","Needs Improvement"))))</x:f>
        <x:v>Needs Improvement</x:v>
      </x:c>
      <x:c r="K173" s="8">
        <x:f>SUM(D173:D181)</x:f>
        <x:v>41</x:v>
      </x:c>
      <x:c r="L173" s="8">
        <x:f>SUM(E173:E181)</x:f>
        <x:v>81</x:v>
      </x:c>
      <x:c r="M173" s="8">
        <x:f>SUM(F173:F181)</x:f>
        <x:v>283</x:v>
      </x:c>
      <x:c r="N173" s="8">
        <x:f>SUM(G173:G181)</x:f>
        <x:v>405</x:v>
      </x:c>
      <x:c r="O173" s="9">
        <x:f>ROUND(AVERAGE(G173:G181),2)</x:f>
        <x:v>45</x:v>
      </x:c>
      <x:c r="P173" s="9">
        <x:f>ROUND(AVERAGE($G$2:$G$271),2)</x:f>
        <x:v>67.88</x:v>
      </x:c>
    </x:row>
    <x:row r="174">
      <x:c r="A174" s="7" t="n"/>
      <x:c r="B174" s="5" t="n"/>
      <x:c r="C174" s="5" t="inlineStr">
        <x:is>
          <x:t xml:space="preserve">English Studies</x:t>
        </x:is>
      </x:c>
      <x:c r="D174" s="6" t="n">
        <x:v>3</x:v>
      </x:c>
      <x:c r="E174" s="6" t="n">
        <x:v>9</x:v>
      </x:c>
      <x:c r="F174" s="6" t="n">
        <x:v>36</x:v>
      </x:c>
      <x:c r="G174" s="6">
        <x:f>D174+E174+F174</x:f>
        <x:v>48</x:v>
      </x:c>
      <x:c r="H174" s="6">
        <x:f>1+SUMPRODUCT(($C$2:$C$271=C174)*($G$2:$G$271&gt;G174))</x:f>
        <x:v>27</x:v>
      </x:c>
      <x:c r="I174" s="7" t="str">
        <x:f>IF(G174&gt;=70,"A",IF(G174&gt;=60,"B",IF(G174&gt;=50,"C",IF(G174&gt;=40,"D","E"))))</x:f>
        <x:v>D</x:v>
      </x:c>
      <x:c r="J174" s="5" t="str">
        <x:f>IF(G174&gt;=70,"Excellent",IF(G174&gt;=60,"Very Good",IF(G174&gt;=50,"Good",IF(G174&gt;=40,"Fair","Needs Improvement"))))</x:f>
        <x:v>Fair</x:v>
      </x:c>
      <x:c r="K174" s="6" t="n"/>
      <x:c r="L174" s="6" t="n"/>
      <x:c r="M174" s="6" t="n"/>
      <x:c r="N174" s="6" t="n"/>
      <x:c r="O174" s="10" t="n"/>
      <x:c r="P174" s="10" t="n"/>
    </x:row>
    <x:row r="175">
      <x:c r="A175" s="7" t="n"/>
      <x:c r="B175" s="5" t="n"/>
      <x:c r="C175" s="5" t="inlineStr">
        <x:is>
          <x:t xml:space="preserve">Basic Science and Technology</x:t>
        </x:is>
      </x:c>
      <x:c r="D175" s="6" t="n">
        <x:v>5</x:v>
      </x:c>
      <x:c r="E175" s="6" t="n">
        <x:v>13</x:v>
      </x:c>
      <x:c r="F175" s="6" t="n">
        <x:v>46</x:v>
      </x:c>
      <x:c r="G175" s="6">
        <x:f>D175+E175+F175</x:f>
        <x:v>64</x:v>
      </x:c>
      <x:c r="H175" s="6">
        <x:f>1+SUMPRODUCT(($C$2:$C$271=C175)*($G$2:$G$271&gt;G175))</x:f>
        <x:v>19</x:v>
      </x:c>
      <x:c r="I175" s="7" t="str">
        <x:f>IF(G175&gt;=70,"A",IF(G175&gt;=60,"B",IF(G175&gt;=50,"C",IF(G175&gt;=40,"D","E"))))</x:f>
        <x:v>B</x:v>
      </x:c>
      <x:c r="J175" s="5" t="str">
        <x:f>IF(G175&gt;=70,"Excellent",IF(G175&gt;=60,"Very Good",IF(G175&gt;=50,"Good",IF(G175&gt;=40,"Fair","Needs Improvement"))))</x:f>
        <x:v>Very Good</x:v>
      </x:c>
      <x:c r="K175" s="6" t="n"/>
      <x:c r="L175" s="6" t="n"/>
      <x:c r="M175" s="6" t="n"/>
      <x:c r="N175" s="6" t="n"/>
      <x:c r="O175" s="10" t="n"/>
      <x:c r="P175" s="10" t="n"/>
    </x:row>
    <x:row r="176">
      <x:c r="A176" s="7" t="n"/>
      <x:c r="B176" s="5" t="n"/>
      <x:c r="C176" s="5" t="inlineStr">
        <x:is>
          <x:t xml:space="preserve">Pre-Vocational Studies</x:t>
        </x:is>
      </x:c>
      <x:c r="D176" s="6" t="n">
        <x:v>5</x:v>
      </x:c>
      <x:c r="E176" s="6" t="n">
        <x:v>4</x:v>
      </x:c>
      <x:c r="F176" s="6" t="n">
        <x:v>27</x:v>
      </x:c>
      <x:c r="G176" s="6">
        <x:f>D176+E176+F176</x:f>
        <x:v>36</x:v>
      </x:c>
      <x:c r="H176" s="6">
        <x:f>1+SUMPRODUCT(($C$2:$C$271=C176)*($G$2:$G$271&gt;G176))</x:f>
        <x:v>29</x:v>
      </x:c>
      <x:c r="I176" s="7" t="str">
        <x:f>IF(G176&gt;=70,"A",IF(G176&gt;=60,"B",IF(G176&gt;=50,"C",IF(G176&gt;=40,"D","E"))))</x:f>
        <x:v>E</x:v>
      </x:c>
      <x:c r="J176" s="5" t="str">
        <x:f>IF(G176&gt;=70,"Excellent",IF(G176&gt;=60,"Very Good",IF(G176&gt;=50,"Good",IF(G176&gt;=40,"Fair","Needs Improvement"))))</x:f>
        <x:v>Needs Improvement</x:v>
      </x:c>
      <x:c r="K176" s="6" t="n"/>
      <x:c r="L176" s="6" t="n"/>
      <x:c r="M176" s="6" t="n"/>
      <x:c r="N176" s="6" t="n"/>
      <x:c r="O176" s="10" t="n"/>
      <x:c r="P176" s="10" t="n"/>
    </x:row>
    <x:row r="177">
      <x:c r="A177" s="7" t="n"/>
      <x:c r="B177" s="5" t="n"/>
      <x:c r="C177" s="5" t="inlineStr">
        <x:is>
          <x:t xml:space="preserve">National Value</x:t>
        </x:is>
      </x:c>
      <x:c r="D177" s="6" t="n">
        <x:v>5</x:v>
      </x:c>
      <x:c r="E177" s="6" t="n">
        <x:v>11</x:v>
      </x:c>
      <x:c r="F177" s="6" t="n">
        <x:v>37</x:v>
      </x:c>
      <x:c r="G177" s="6">
        <x:f>D177+E177+F177</x:f>
        <x:v>53</x:v>
      </x:c>
      <x:c r="H177" s="6">
        <x:f>1+SUMPRODUCT(($C$2:$C$271=C177)*($G$2:$G$271&gt;G177))</x:f>
        <x:v>26</x:v>
      </x:c>
      <x:c r="I177" s="7" t="str">
        <x:f>IF(G177&gt;=70,"A",IF(G177&gt;=60,"B",IF(G177&gt;=50,"C",IF(G177&gt;=40,"D","E"))))</x:f>
        <x:v>C</x:v>
      </x:c>
      <x:c r="J177" s="5" t="str">
        <x:f>IF(G177&gt;=70,"Excellent",IF(G177&gt;=60,"Very Good",IF(G177&gt;=50,"Good",IF(G177&gt;=40,"Fair","Needs Improvement"))))</x:f>
        <x:v>Good</x:v>
      </x:c>
      <x:c r="K177" s="6" t="n"/>
      <x:c r="L177" s="6" t="n"/>
      <x:c r="M177" s="6" t="n"/>
      <x:c r="N177" s="6" t="n"/>
      <x:c r="O177" s="10" t="n"/>
      <x:c r="P177" s="10" t="n"/>
    </x:row>
    <x:row r="178">
      <x:c r="A178" s="7" t="n"/>
      <x:c r="B178" s="5" t="n"/>
      <x:c r="C178" s="5" t="inlineStr">
        <x:is>
          <x:t xml:space="preserve">Business Studies</x:t>
        </x:is>
      </x:c>
      <x:c r="D178" s="6" t="n">
        <x:v>9</x:v>
      </x:c>
      <x:c r="E178" s="6" t="n">
        <x:v>17</x:v>
      </x:c>
      <x:c r="F178" s="6" t="n">
        <x:v>35</x:v>
      </x:c>
      <x:c r="G178" s="6">
        <x:f>D178+E178+F178</x:f>
        <x:v>61</x:v>
      </x:c>
      <x:c r="H178" s="6">
        <x:f>1+SUMPRODUCT(($C$2:$C$271=C178)*($G$2:$G$271&gt;G178))</x:f>
        <x:v>21</x:v>
      </x:c>
      <x:c r="I178" s="7" t="str">
        <x:f>IF(G178&gt;=70,"A",IF(G178&gt;=60,"B",IF(G178&gt;=50,"C",IF(G178&gt;=40,"D","E"))))</x:f>
        <x:v>B</x:v>
      </x:c>
      <x:c r="J178" s="5" t="str">
        <x:f>IF(G178&gt;=70,"Excellent",IF(G178&gt;=60,"Very Good",IF(G178&gt;=50,"Good",IF(G178&gt;=40,"Fair","Needs Improvement"))))</x:f>
        <x:v>Very Good</x:v>
      </x:c>
      <x:c r="K178" s="6" t="n"/>
      <x:c r="L178" s="6" t="n"/>
      <x:c r="M178" s="6" t="n"/>
      <x:c r="N178" s="6" t="n"/>
      <x:c r="O178" s="10" t="n"/>
      <x:c r="P178" s="10" t="n"/>
    </x:row>
    <x:row r="179">
      <x:c r="A179" s="7" t="n"/>
      <x:c r="B179" s="5" t="n"/>
      <x:c r="C179" s="5" t="inlineStr">
        <x:is>
          <x:t xml:space="preserve">Creative and Cultural Art</x:t>
        </x:is>
      </x:c>
      <x:c r="D179" s="6" t="n">
        <x:v>2</x:v>
      </x:c>
      <x:c r="E179" s="6" t="n">
        <x:v>6</x:v>
      </x:c>
      <x:c r="F179" s="6" t="n">
        <x:v>21</x:v>
      </x:c>
      <x:c r="G179" s="6">
        <x:f>D179+E179+F179</x:f>
        <x:v>29</x:v>
      </x:c>
      <x:c r="H179" s="6">
        <x:f>1+SUMPRODUCT(($C$2:$C$271=C179)*($G$2:$G$271&gt;G179))</x:f>
        <x:v>30</x:v>
      </x:c>
      <x:c r="I179" s="7" t="str">
        <x:f>IF(G179&gt;=70,"A",IF(G179&gt;=60,"B",IF(G179&gt;=50,"C",IF(G179&gt;=40,"D","E"))))</x:f>
        <x:v>E</x:v>
      </x:c>
      <x:c r="J179" s="5" t="str">
        <x:f>IF(G179&gt;=70,"Excellent",IF(G179&gt;=60,"Very Good",IF(G179&gt;=50,"Good",IF(G179&gt;=40,"Fair","Needs Improvement"))))</x:f>
        <x:v>Needs Improvement</x:v>
      </x:c>
      <x:c r="K179" s="6" t="n"/>
      <x:c r="L179" s="6" t="n"/>
      <x:c r="M179" s="6" t="n"/>
      <x:c r="N179" s="6" t="n"/>
      <x:c r="O179" s="10" t="n"/>
      <x:c r="P179" s="10" t="n"/>
    </x:row>
    <x:row r="180">
      <x:c r="A180" s="7" t="n"/>
      <x:c r="B180" s="5" t="n"/>
      <x:c r="C180" s="5" t="inlineStr">
        <x:is>
          <x:t xml:space="preserve">Christian Religious Studies</x:t>
        </x:is>
      </x:c>
      <x:c r="D180" s="6" t="n">
        <x:v>2</x:v>
      </x:c>
      <x:c r="E180" s="6" t="n">
        <x:v>5</x:v>
      </x:c>
      <x:c r="F180" s="6" t="n">
        <x:v>24</x:v>
      </x:c>
      <x:c r="G180" s="6">
        <x:f>D180+E180+F180</x:f>
        <x:v>31</x:v>
      </x:c>
      <x:c r="H180" s="6">
        <x:f>1+SUMPRODUCT(($C$2:$C$271=C180)*($G$2:$G$271&gt;G180))</x:f>
        <x:v>28</x:v>
      </x:c>
      <x:c r="I180" s="7" t="str">
        <x:f>IF(G180&gt;=70,"A",IF(G180&gt;=60,"B",IF(G180&gt;=50,"C",IF(G180&gt;=40,"D","E"))))</x:f>
        <x:v>E</x:v>
      </x:c>
      <x:c r="J180" s="5" t="str">
        <x:f>IF(G180&gt;=70,"Excellent",IF(G180&gt;=60,"Very Good",IF(G180&gt;=50,"Good",IF(G180&gt;=40,"Fair","Needs Improvement"))))</x:f>
        <x:v>Needs Improvement</x:v>
      </x:c>
      <x:c r="K180" s="6" t="n"/>
      <x:c r="L180" s="6" t="n"/>
      <x:c r="M180" s="6" t="n"/>
      <x:c r="N180" s="6" t="n"/>
      <x:c r="O180" s="10" t="n"/>
      <x:c r="P180" s="10" t="n"/>
    </x:row>
    <x:row r="181">
      <x:c r="A181" s="7" t="n"/>
      <x:c r="B181" s="5" t="n"/>
      <x:c r="C181" s="5" t="inlineStr">
        <x:is>
          <x:t xml:space="preserve">History Studies</x:t>
        </x:is>
      </x:c>
      <x:c r="D181" s="6" t="n">
        <x:v>6</x:v>
      </x:c>
      <x:c r="E181" s="6" t="n">
        <x:v>9</x:v>
      </x:c>
      <x:c r="F181" s="6" t="n">
        <x:v>32</x:v>
      </x:c>
      <x:c r="G181" s="6">
        <x:f>D181+E181+F181</x:f>
        <x:v>47</x:v>
      </x:c>
      <x:c r="H181" s="6">
        <x:f>1+SUMPRODUCT(($C$2:$C$271=C181)*($G$2:$G$271&gt;G181))</x:f>
        <x:v>27</x:v>
      </x:c>
      <x:c r="I181" s="7" t="str">
        <x:f>IF(G181&gt;=70,"A",IF(G181&gt;=60,"B",IF(G181&gt;=50,"C",IF(G181&gt;=40,"D","E"))))</x:f>
        <x:v>D</x:v>
      </x:c>
      <x:c r="J181" s="5" t="str">
        <x:f>IF(G181&gt;=70,"Excellent",IF(G181&gt;=60,"Very Good",IF(G181&gt;=50,"Good",IF(G181&gt;=40,"Fair","Needs Improvement"))))</x:f>
        <x:v>Fair</x:v>
      </x:c>
      <x:c r="K181" s="6" t="n"/>
      <x:c r="L181" s="6" t="n"/>
      <x:c r="M181" s="6" t="n"/>
      <x:c r="N181" s="6" t="n"/>
      <x:c r="O181" s="10" t="n"/>
      <x:c r="P181" s="10" t="n"/>
    </x:row>
    <x:row r="182">
      <x:c r="A182" s="3" t="n">
        <x:v>21</x:v>
      </x:c>
      <x:c r="B182" s="4" t="inlineStr">
        <x:is>
          <x:t xml:space="preserve">Stephen Olatunji</x:t>
        </x:is>
      </x:c>
      <x:c r="C182" s="5" t="inlineStr">
        <x:is>
          <x:t xml:space="preserve">Mathematics</x:t>
        </x:is>
      </x:c>
      <x:c r="D182" s="6" t="n">
        <x:v>10</x:v>
      </x:c>
      <x:c r="E182" s="6" t="n">
        <x:v>15</x:v>
      </x:c>
      <x:c r="F182" s="6" t="n">
        <x:v>52</x:v>
      </x:c>
      <x:c r="G182" s="6">
        <x:f>D182+E182+F182</x:f>
        <x:v>77</x:v>
      </x:c>
      <x:c r="H182" s="6">
        <x:f>1+SUMPRODUCT(($C$2:$C$271=C182)*($G$2:$G$271&gt;G182))</x:f>
        <x:v>5</x:v>
      </x:c>
      <x:c r="I182" s="7" t="str">
        <x:f>IF(G182&gt;=70,"A",IF(G182&gt;=60,"B",IF(G182&gt;=50,"C",IF(G182&gt;=40,"D","E"))))</x:f>
        <x:v>A</x:v>
      </x:c>
      <x:c r="J182" s="5" t="str">
        <x:f>IF(G182&gt;=70,"Excellent",IF(G182&gt;=60,"Very Good",IF(G182&gt;=50,"Good",IF(G182&gt;=40,"Fair","Needs Improvement"))))</x:f>
        <x:v>Excellent</x:v>
      </x:c>
      <x:c r="K182" s="8">
        <x:f>SUM(D182:D190)</x:f>
        <x:v>63</x:v>
      </x:c>
      <x:c r="L182" s="8">
        <x:f>SUM(E182:E190)</x:f>
        <x:v>121</x:v>
      </x:c>
      <x:c r="M182" s="8">
        <x:f>SUM(F182:F190)</x:f>
        <x:v>426</x:v>
      </x:c>
      <x:c r="N182" s="8">
        <x:f>SUM(G182:G190)</x:f>
        <x:v>610</x:v>
      </x:c>
      <x:c r="O182" s="9">
        <x:f>ROUND(AVERAGE(G182:G190),2)</x:f>
        <x:v>67.78</x:v>
      </x:c>
      <x:c r="P182" s="9">
        <x:f>ROUND(AVERAGE($G$2:$G$271),2)</x:f>
        <x:v>67.88</x:v>
      </x:c>
    </x:row>
    <x:row r="183">
      <x:c r="A183" s="7" t="n"/>
      <x:c r="B183" s="5" t="n"/>
      <x:c r="C183" s="5" t="inlineStr">
        <x:is>
          <x:t xml:space="preserve">English Studies</x:t>
        </x:is>
      </x:c>
      <x:c r="D183" s="6" t="n">
        <x:v>9</x:v>
      </x:c>
      <x:c r="E183" s="6" t="n">
        <x:v>9</x:v>
      </x:c>
      <x:c r="F183" s="6" t="n">
        <x:v>37</x:v>
      </x:c>
      <x:c r="G183" s="6">
        <x:f>D183+E183+F183</x:f>
        <x:v>55</x:v>
      </x:c>
      <x:c r="H183" s="6">
        <x:f>1+SUMPRODUCT(($C$2:$C$271=C183)*($G$2:$G$271&gt;G183))</x:f>
        <x:v>22</x:v>
      </x:c>
      <x:c r="I183" s="7" t="str">
        <x:f>IF(G183&gt;=70,"A",IF(G183&gt;=60,"B",IF(G183&gt;=50,"C",IF(G183&gt;=40,"D","E"))))</x:f>
        <x:v>C</x:v>
      </x:c>
      <x:c r="J183" s="5" t="str">
        <x:f>IF(G183&gt;=70,"Excellent",IF(G183&gt;=60,"Very Good",IF(G183&gt;=50,"Good",IF(G183&gt;=40,"Fair","Needs Improvement"))))</x:f>
        <x:v>Good</x:v>
      </x:c>
      <x:c r="K183" s="6" t="n"/>
      <x:c r="L183" s="6" t="n"/>
      <x:c r="M183" s="6" t="n"/>
      <x:c r="N183" s="6" t="n"/>
      <x:c r="O183" s="10" t="n"/>
      <x:c r="P183" s="10" t="n"/>
    </x:row>
    <x:row r="184">
      <x:c r="A184" s="7" t="n"/>
      <x:c r="B184" s="5" t="n"/>
      <x:c r="C184" s="5" t="inlineStr">
        <x:is>
          <x:t xml:space="preserve">Basic Science and Technology</x:t>
        </x:is>
      </x:c>
      <x:c r="D184" s="6" t="n">
        <x:v>7</x:v>
      </x:c>
      <x:c r="E184" s="6" t="n">
        <x:v>8</x:v>
      </x:c>
      <x:c r="F184" s="6" t="n">
        <x:v>39</x:v>
      </x:c>
      <x:c r="G184" s="6">
        <x:f>D184+E184+F184</x:f>
        <x:v>54</x:v>
      </x:c>
      <x:c r="H184" s="6">
        <x:f>1+SUMPRODUCT(($C$2:$C$271=C184)*($G$2:$G$271&gt;G184))</x:f>
        <x:v>24</x:v>
      </x:c>
      <x:c r="I184" s="7" t="str">
        <x:f>IF(G184&gt;=70,"A",IF(G184&gt;=60,"B",IF(G184&gt;=50,"C",IF(G184&gt;=40,"D","E"))))</x:f>
        <x:v>C</x:v>
      </x:c>
      <x:c r="J184" s="5" t="str">
        <x:f>IF(G184&gt;=70,"Excellent",IF(G184&gt;=60,"Very Good",IF(G184&gt;=50,"Good",IF(G184&gt;=40,"Fair","Needs Improvement"))))</x:f>
        <x:v>Good</x:v>
      </x:c>
      <x:c r="K184" s="6" t="n"/>
      <x:c r="L184" s="6" t="n"/>
      <x:c r="M184" s="6" t="n"/>
      <x:c r="N184" s="6" t="n"/>
      <x:c r="O184" s="10" t="n"/>
      <x:c r="P184" s="10" t="n"/>
    </x:row>
    <x:row r="185">
      <x:c r="A185" s="7" t="n"/>
      <x:c r="B185" s="5" t="n"/>
      <x:c r="C185" s="5" t="inlineStr">
        <x:is>
          <x:t xml:space="preserve">Pre-Vocational Studies</x:t>
        </x:is>
      </x:c>
      <x:c r="D185" s="6" t="n">
        <x:v>7</x:v>
      </x:c>
      <x:c r="E185" s="6" t="n">
        <x:v>11</x:v>
      </x:c>
      <x:c r="F185" s="6" t="n">
        <x:v>50</x:v>
      </x:c>
      <x:c r="G185" s="6">
        <x:f>D185+E185+F185</x:f>
        <x:v>68</x:v>
      </x:c>
      <x:c r="H185" s="6">
        <x:f>1+SUMPRODUCT(($C$2:$C$271=C185)*($G$2:$G$271&gt;G185))</x:f>
        <x:v>17</x:v>
      </x:c>
      <x:c r="I185" s="7" t="str">
        <x:f>IF(G185&gt;=70,"A",IF(G185&gt;=60,"B",IF(G185&gt;=50,"C",IF(G185&gt;=40,"D","E"))))</x:f>
        <x:v>B</x:v>
      </x:c>
      <x:c r="J185" s="5" t="str">
        <x:f>IF(G185&gt;=70,"Excellent",IF(G185&gt;=60,"Very Good",IF(G185&gt;=50,"Good",IF(G185&gt;=40,"Fair","Needs Improvement"))))</x:f>
        <x:v>Very Good</x:v>
      </x:c>
      <x:c r="K185" s="6" t="n"/>
      <x:c r="L185" s="6" t="n"/>
      <x:c r="M185" s="6" t="n"/>
      <x:c r="N185" s="6" t="n"/>
      <x:c r="O185" s="10" t="n"/>
      <x:c r="P185" s="10" t="n"/>
    </x:row>
    <x:row r="186">
      <x:c r="A186" s="7" t="n"/>
      <x:c r="B186" s="5" t="n"/>
      <x:c r="C186" s="5" t="inlineStr">
        <x:is>
          <x:t xml:space="preserve">National Value</x:t>
        </x:is>
      </x:c>
      <x:c r="D186" s="6" t="n">
        <x:v>3</x:v>
      </x:c>
      <x:c r="E186" s="6" t="n">
        <x:v>11</x:v>
      </x:c>
      <x:c r="F186" s="6" t="n">
        <x:v>41</x:v>
      </x:c>
      <x:c r="G186" s="6">
        <x:f>D186+E186+F186</x:f>
        <x:v>55</x:v>
      </x:c>
      <x:c r="H186" s="6">
        <x:f>1+SUMPRODUCT(($C$2:$C$271=C186)*($G$2:$G$271&gt;G186))</x:f>
        <x:v>24</x:v>
      </x:c>
      <x:c r="I186" s="7" t="str">
        <x:f>IF(G186&gt;=70,"A",IF(G186&gt;=60,"B",IF(G186&gt;=50,"C",IF(G186&gt;=40,"D","E"))))</x:f>
        <x:v>C</x:v>
      </x:c>
      <x:c r="J186" s="5" t="str">
        <x:f>IF(G186&gt;=70,"Excellent",IF(G186&gt;=60,"Very Good",IF(G186&gt;=50,"Good",IF(G186&gt;=40,"Fair","Needs Improvement"))))</x:f>
        <x:v>Good</x:v>
      </x:c>
      <x:c r="K186" s="6" t="n"/>
      <x:c r="L186" s="6" t="n"/>
      <x:c r="M186" s="6" t="n"/>
      <x:c r="N186" s="6" t="n"/>
      <x:c r="O186" s="10" t="n"/>
      <x:c r="P186" s="10" t="n"/>
    </x:row>
    <x:row r="187">
      <x:c r="A187" s="7" t="n"/>
      <x:c r="B187" s="5" t="n"/>
      <x:c r="C187" s="5" t="inlineStr">
        <x:is>
          <x:t xml:space="preserve">Business Studies</x:t>
        </x:is>
      </x:c>
      <x:c r="D187" s="6" t="n">
        <x:v>10</x:v>
      </x:c>
      <x:c r="E187" s="6" t="n">
        <x:v>19</x:v>
      </x:c>
      <x:c r="F187" s="6" t="n">
        <x:v>49</x:v>
      </x:c>
      <x:c r="G187" s="6">
        <x:f>D187+E187+F187</x:f>
        <x:v>78</x:v>
      </x:c>
      <x:c r="H187" s="6">
        <x:f>1+SUMPRODUCT(($C$2:$C$271=C187)*($G$2:$G$271&gt;G187))</x:f>
        <x:v>11</x:v>
      </x:c>
      <x:c r="I187" s="7" t="str">
        <x:f>IF(G187&gt;=70,"A",IF(G187&gt;=60,"B",IF(G187&gt;=50,"C",IF(G187&gt;=40,"D","E"))))</x:f>
        <x:v>A</x:v>
      </x:c>
      <x:c r="J187" s="5" t="str">
        <x:f>IF(G187&gt;=70,"Excellent",IF(G187&gt;=60,"Very Good",IF(G187&gt;=50,"Good",IF(G187&gt;=40,"Fair","Needs Improvement"))))</x:f>
        <x:v>Excellent</x:v>
      </x:c>
      <x:c r="K187" s="6" t="n"/>
      <x:c r="L187" s="6" t="n"/>
      <x:c r="M187" s="6" t="n"/>
      <x:c r="N187" s="6" t="n"/>
      <x:c r="O187" s="10" t="n"/>
      <x:c r="P187" s="10" t="n"/>
    </x:row>
    <x:row r="188">
      <x:c r="A188" s="7" t="n"/>
      <x:c r="B188" s="5" t="n"/>
      <x:c r="C188" s="5" t="inlineStr">
        <x:is>
          <x:t xml:space="preserve">Creative and Cultural Art</x:t>
        </x:is>
      </x:c>
      <x:c r="D188" s="6" t="n">
        <x:v>7</x:v>
      </x:c>
      <x:c r="E188" s="6" t="n">
        <x:v>13</x:v>
      </x:c>
      <x:c r="F188" s="6" t="n">
        <x:v>45</x:v>
      </x:c>
      <x:c r="G188" s="6">
        <x:f>D188+E188+F188</x:f>
        <x:v>65</x:v>
      </x:c>
      <x:c r="H188" s="6">
        <x:f>1+SUMPRODUCT(($C$2:$C$271=C188)*($G$2:$G$271&gt;G188))</x:f>
        <x:v>21</x:v>
      </x:c>
      <x:c r="I188" s="7" t="str">
        <x:f>IF(G188&gt;=70,"A",IF(G188&gt;=60,"B",IF(G188&gt;=50,"C",IF(G188&gt;=40,"D","E"))))</x:f>
        <x:v>B</x:v>
      </x:c>
      <x:c r="J188" s="5" t="str">
        <x:f>IF(G188&gt;=70,"Excellent",IF(G188&gt;=60,"Very Good",IF(G188&gt;=50,"Good",IF(G188&gt;=40,"Fair","Needs Improvement"))))</x:f>
        <x:v>Very Good</x:v>
      </x:c>
      <x:c r="K188" s="6" t="n"/>
      <x:c r="L188" s="6" t="n"/>
      <x:c r="M188" s="6" t="n"/>
      <x:c r="N188" s="6" t="n"/>
      <x:c r="O188" s="10" t="n"/>
      <x:c r="P188" s="10" t="n"/>
    </x:row>
    <x:row r="189">
      <x:c r="A189" s="7" t="n"/>
      <x:c r="B189" s="5" t="n"/>
      <x:c r="C189" s="5" t="inlineStr">
        <x:is>
          <x:t xml:space="preserve">Christian Religious Studies</x:t>
        </x:is>
      </x:c>
      <x:c r="D189" s="6" t="n">
        <x:v>5</x:v>
      </x:c>
      <x:c r="E189" s="6" t="n">
        <x:v>19</x:v>
      </x:c>
      <x:c r="F189" s="6" t="n">
        <x:v>58</x:v>
      </x:c>
      <x:c r="G189" s="6">
        <x:f>D189+E189+F189</x:f>
        <x:v>82</x:v>
      </x:c>
      <x:c r="H189" s="6">
        <x:f>1+SUMPRODUCT(($C$2:$C$271=C189)*($G$2:$G$271&gt;G189))</x:f>
        <x:v>9</x:v>
      </x:c>
      <x:c r="I189" s="7" t="str">
        <x:f>IF(G189&gt;=70,"A",IF(G189&gt;=60,"B",IF(G189&gt;=50,"C",IF(G189&gt;=40,"D","E"))))</x:f>
        <x:v>A</x:v>
      </x:c>
      <x:c r="J189" s="5" t="str">
        <x:f>IF(G189&gt;=70,"Excellent",IF(G189&gt;=60,"Very Good",IF(G189&gt;=50,"Good",IF(G189&gt;=40,"Fair","Needs Improvement"))))</x:f>
        <x:v>Excellent</x:v>
      </x:c>
      <x:c r="K189" s="6" t="n"/>
      <x:c r="L189" s="6" t="n"/>
      <x:c r="M189" s="6" t="n"/>
      <x:c r="N189" s="6" t="n"/>
      <x:c r="O189" s="10" t="n"/>
      <x:c r="P189" s="10" t="n"/>
    </x:row>
    <x:row r="190">
      <x:c r="A190" s="7" t="n"/>
      <x:c r="B190" s="5" t="n"/>
      <x:c r="C190" s="5" t="inlineStr">
        <x:is>
          <x:t xml:space="preserve">History Studies</x:t>
        </x:is>
      </x:c>
      <x:c r="D190" s="6" t="n">
        <x:v>5</x:v>
      </x:c>
      <x:c r="E190" s="6" t="n">
        <x:v>16</x:v>
      </x:c>
      <x:c r="F190" s="6" t="n">
        <x:v>55</x:v>
      </x:c>
      <x:c r="G190" s="6">
        <x:f>D190+E190+F190</x:f>
        <x:v>76</x:v>
      </x:c>
      <x:c r="H190" s="6">
        <x:f>1+SUMPRODUCT(($C$2:$C$271=C190)*($G$2:$G$271&gt;G190))</x:f>
        <x:v>12</x:v>
      </x:c>
      <x:c r="I190" s="7" t="str">
        <x:f>IF(G190&gt;=70,"A",IF(G190&gt;=60,"B",IF(G190&gt;=50,"C",IF(G190&gt;=40,"D","E"))))</x:f>
        <x:v>A</x:v>
      </x:c>
      <x:c r="J190" s="5" t="str">
        <x:f>IF(G190&gt;=70,"Excellent",IF(G190&gt;=60,"Very Good",IF(G190&gt;=50,"Good",IF(G190&gt;=40,"Fair","Needs Improvement"))))</x:f>
        <x:v>Excellent</x:v>
      </x:c>
      <x:c r="K190" s="6" t="n"/>
      <x:c r="L190" s="6" t="n"/>
      <x:c r="M190" s="6" t="n"/>
      <x:c r="N190" s="6" t="n"/>
      <x:c r="O190" s="10" t="n"/>
      <x:c r="P190" s="10" t="n"/>
    </x:row>
    <x:row r="191">
      <x:c r="A191" s="3" t="n">
        <x:v>22</x:v>
      </x:c>
      <x:c r="B191" s="4" t="inlineStr">
        <x:is>
          <x:t xml:space="preserve">Rebecca Ajayi</x:t>
        </x:is>
      </x:c>
      <x:c r="C191" s="5" t="inlineStr">
        <x:is>
          <x:t xml:space="preserve">Mathematics</x:t>
        </x:is>
      </x:c>
      <x:c r="D191" s="6" t="n">
        <x:v>5</x:v>
      </x:c>
      <x:c r="E191" s="6" t="n">
        <x:v>17</x:v>
      </x:c>
      <x:c r="F191" s="6" t="n">
        <x:v>46</x:v>
      </x:c>
      <x:c r="G191" s="6">
        <x:f>D191+E191+F191</x:f>
        <x:v>68</x:v>
      </x:c>
      <x:c r="H191" s="6">
        <x:f>1+SUMPRODUCT(($C$2:$C$271=C191)*($G$2:$G$271&gt;G191))</x:f>
        <x:v>11</x:v>
      </x:c>
      <x:c r="I191" s="7" t="str">
        <x:f>IF(G191&gt;=70,"A",IF(G191&gt;=60,"B",IF(G191&gt;=50,"C",IF(G191&gt;=40,"D","E"))))</x:f>
        <x:v>B</x:v>
      </x:c>
      <x:c r="J191" s="5" t="str">
        <x:f>IF(G191&gt;=70,"Excellent",IF(G191&gt;=60,"Very Good",IF(G191&gt;=50,"Good",IF(G191&gt;=40,"Fair","Needs Improvement"))))</x:f>
        <x:v>Very Good</x:v>
      </x:c>
      <x:c r="K191" s="8">
        <x:f>SUM(D191:D199)</x:f>
        <x:v>65</x:v>
      </x:c>
      <x:c r="L191" s="8">
        <x:f>SUM(E191:E199)</x:f>
        <x:v>133</x:v>
      </x:c>
      <x:c r="M191" s="8">
        <x:f>SUM(F191:F199)</x:f>
        <x:v>497</x:v>
      </x:c>
      <x:c r="N191" s="8">
        <x:f>SUM(G191:G199)</x:f>
        <x:v>695</x:v>
      </x:c>
      <x:c r="O191" s="9">
        <x:f>ROUND(AVERAGE(G191:G199),2)</x:f>
        <x:v>77.22</x:v>
      </x:c>
      <x:c r="P191" s="9">
        <x:f>ROUND(AVERAGE($G$2:$G$271),2)</x:f>
        <x:v>67.88</x:v>
      </x:c>
    </x:row>
    <x:row r="192">
      <x:c r="A192" s="7" t="n"/>
      <x:c r="B192" s="5" t="n"/>
      <x:c r="C192" s="5" t="inlineStr">
        <x:is>
          <x:t xml:space="preserve">English Studies</x:t>
        </x:is>
      </x:c>
      <x:c r="D192" s="6" t="n">
        <x:v>7</x:v>
      </x:c>
      <x:c r="E192" s="6" t="n">
        <x:v>11</x:v>
      </x:c>
      <x:c r="F192" s="6" t="n">
        <x:v>46</x:v>
      </x:c>
      <x:c r="G192" s="6">
        <x:f>D192+E192+F192</x:f>
        <x:v>64</x:v>
      </x:c>
      <x:c r="H192" s="6">
        <x:f>1+SUMPRODUCT(($C$2:$C$271=C192)*($G$2:$G$271&gt;G192))</x:f>
        <x:v>18</x:v>
      </x:c>
      <x:c r="I192" s="7" t="str">
        <x:f>IF(G192&gt;=70,"A",IF(G192&gt;=60,"B",IF(G192&gt;=50,"C",IF(G192&gt;=40,"D","E"))))</x:f>
        <x:v>B</x:v>
      </x:c>
      <x:c r="J192" s="5" t="str">
        <x:f>IF(G192&gt;=70,"Excellent",IF(G192&gt;=60,"Very Good",IF(G192&gt;=50,"Good",IF(G192&gt;=40,"Fair","Needs Improvement"))))</x:f>
        <x:v>Very Good</x:v>
      </x:c>
      <x:c r="K192" s="6" t="n"/>
      <x:c r="L192" s="6" t="n"/>
      <x:c r="M192" s="6" t="n"/>
      <x:c r="N192" s="6" t="n"/>
      <x:c r="O192" s="10" t="n"/>
      <x:c r="P192" s="10" t="n"/>
    </x:row>
    <x:row r="193">
      <x:c r="A193" s="7" t="n"/>
      <x:c r="B193" s="5" t="n"/>
      <x:c r="C193" s="5" t="inlineStr">
        <x:is>
          <x:t xml:space="preserve">Basic Science and Technology</x:t>
        </x:is>
      </x:c>
      <x:c r="D193" s="6" t="n">
        <x:v>10</x:v>
      </x:c>
      <x:c r="E193" s="6" t="n">
        <x:v>15</x:v>
      </x:c>
      <x:c r="F193" s="6" t="n">
        <x:v>63</x:v>
      </x:c>
      <x:c r="G193" s="6">
        <x:f>D193+E193+F193</x:f>
        <x:v>88</x:v>
      </x:c>
      <x:c r="H193" s="6">
        <x:f>1+SUMPRODUCT(($C$2:$C$271=C193)*($G$2:$G$271&gt;G193))</x:f>
        <x:v>3</x:v>
      </x:c>
      <x:c r="I193" s="7" t="str">
        <x:f>IF(G193&gt;=70,"A",IF(G193&gt;=60,"B",IF(G193&gt;=50,"C",IF(G193&gt;=40,"D","E"))))</x:f>
        <x:v>A</x:v>
      </x:c>
      <x:c r="J193" s="5" t="str">
        <x:f>IF(G193&gt;=70,"Excellent",IF(G193&gt;=60,"Very Good",IF(G193&gt;=50,"Good",IF(G193&gt;=40,"Fair","Needs Improvement"))))</x:f>
        <x:v>Excellent</x:v>
      </x:c>
      <x:c r="K193" s="6" t="n"/>
      <x:c r="L193" s="6" t="n"/>
      <x:c r="M193" s="6" t="n"/>
      <x:c r="N193" s="6" t="n"/>
      <x:c r="O193" s="10" t="n"/>
      <x:c r="P193" s="10" t="n"/>
    </x:row>
    <x:row r="194">
      <x:c r="A194" s="7" t="n"/>
      <x:c r="B194" s="5" t="n"/>
      <x:c r="C194" s="5" t="inlineStr">
        <x:is>
          <x:t xml:space="preserve">Pre-Vocational Studies</x:t>
        </x:is>
      </x:c>
      <x:c r="D194" s="6" t="n">
        <x:v>8</x:v>
      </x:c>
      <x:c r="E194" s="6" t="n">
        <x:v>17</x:v>
      </x:c>
      <x:c r="F194" s="6" t="n">
        <x:v>62</x:v>
      </x:c>
      <x:c r="G194" s="6">
        <x:f>D194+E194+F194</x:f>
        <x:v>87</x:v>
      </x:c>
      <x:c r="H194" s="6">
        <x:f>1+SUMPRODUCT(($C$2:$C$271=C194)*($G$2:$G$271&gt;G194))</x:f>
        <x:v>2</x:v>
      </x:c>
      <x:c r="I194" s="7" t="str">
        <x:f>IF(G194&gt;=70,"A",IF(G194&gt;=60,"B",IF(G194&gt;=50,"C",IF(G194&gt;=40,"D","E"))))</x:f>
        <x:v>A</x:v>
      </x:c>
      <x:c r="J194" s="5" t="str">
        <x:f>IF(G194&gt;=70,"Excellent",IF(G194&gt;=60,"Very Good",IF(G194&gt;=50,"Good",IF(G194&gt;=40,"Fair","Needs Improvement"))))</x:f>
        <x:v>Excellent</x:v>
      </x:c>
      <x:c r="K194" s="6" t="n"/>
      <x:c r="L194" s="6" t="n"/>
      <x:c r="M194" s="6" t="n"/>
      <x:c r="N194" s="6" t="n"/>
      <x:c r="O194" s="10" t="n"/>
      <x:c r="P194" s="10" t="n"/>
    </x:row>
    <x:row r="195">
      <x:c r="A195" s="7" t="n"/>
      <x:c r="B195" s="5" t="n"/>
      <x:c r="C195" s="5" t="inlineStr">
        <x:is>
          <x:t xml:space="preserve">National Value</x:t>
        </x:is>
      </x:c>
      <x:c r="D195" s="6" t="n">
        <x:v>7</x:v>
      </x:c>
      <x:c r="E195" s="6" t="n">
        <x:v>15</x:v>
      </x:c>
      <x:c r="F195" s="6" t="n">
        <x:v>58</x:v>
      </x:c>
      <x:c r="G195" s="6">
        <x:f>D195+E195+F195</x:f>
        <x:v>80</x:v>
      </x:c>
      <x:c r="H195" s="6">
        <x:f>1+SUMPRODUCT(($C$2:$C$271=C195)*($G$2:$G$271&gt;G195))</x:f>
        <x:v>7</x:v>
      </x:c>
      <x:c r="I195" s="7" t="str">
        <x:f>IF(G195&gt;=70,"A",IF(G195&gt;=60,"B",IF(G195&gt;=50,"C",IF(G195&gt;=40,"D","E"))))</x:f>
        <x:v>A</x:v>
      </x:c>
      <x:c r="J195" s="5" t="str">
        <x:f>IF(G195&gt;=70,"Excellent",IF(G195&gt;=60,"Very Good",IF(G195&gt;=50,"Good",IF(G195&gt;=40,"Fair","Needs Improvement"))))</x:f>
        <x:v>Excellent</x:v>
      </x:c>
      <x:c r="K195" s="6" t="n"/>
      <x:c r="L195" s="6" t="n"/>
      <x:c r="M195" s="6" t="n"/>
      <x:c r="N195" s="6" t="n"/>
      <x:c r="O195" s="10" t="n"/>
      <x:c r="P195" s="10" t="n"/>
    </x:row>
    <x:row r="196">
      <x:c r="A196" s="7" t="n"/>
      <x:c r="B196" s="5" t="n"/>
      <x:c r="C196" s="5" t="inlineStr">
        <x:is>
          <x:t xml:space="preserve">Business Studies</x:t>
        </x:is>
      </x:c>
      <x:c r="D196" s="6" t="n">
        <x:v>6</x:v>
      </x:c>
      <x:c r="E196" s="6" t="n">
        <x:v>10</x:v>
      </x:c>
      <x:c r="F196" s="6" t="n">
        <x:v>42</x:v>
      </x:c>
      <x:c r="G196" s="6">
        <x:f>D196+E196+F196</x:f>
        <x:v>58</x:v>
      </x:c>
      <x:c r="H196" s="6">
        <x:f>1+SUMPRODUCT(($C$2:$C$271=C196)*($G$2:$G$271&gt;G196))</x:f>
        <x:v>22</x:v>
      </x:c>
      <x:c r="I196" s="7" t="str">
        <x:f>IF(G196&gt;=70,"A",IF(G196&gt;=60,"B",IF(G196&gt;=50,"C",IF(G196&gt;=40,"D","E"))))</x:f>
        <x:v>C</x:v>
      </x:c>
      <x:c r="J196" s="5" t="str">
        <x:f>IF(G196&gt;=70,"Excellent",IF(G196&gt;=60,"Very Good",IF(G196&gt;=50,"Good",IF(G196&gt;=40,"Fair","Needs Improvement"))))</x:f>
        <x:v>Good</x:v>
      </x:c>
      <x:c r="K196" s="6" t="n"/>
      <x:c r="L196" s="6" t="n"/>
      <x:c r="M196" s="6" t="n"/>
      <x:c r="N196" s="6" t="n"/>
      <x:c r="O196" s="10" t="n"/>
      <x:c r="P196" s="10" t="n"/>
    </x:row>
    <x:row r="197">
      <x:c r="A197" s="7" t="n"/>
      <x:c r="B197" s="5" t="n"/>
      <x:c r="C197" s="5" t="inlineStr">
        <x:is>
          <x:t xml:space="preserve">Creative and Cultural Art</x:t>
        </x:is>
      </x:c>
      <x:c r="D197" s="6" t="n">
        <x:v>10</x:v>
      </x:c>
      <x:c r="E197" s="6" t="n">
        <x:v>20</x:v>
      </x:c>
      <x:c r="F197" s="6" t="n">
        <x:v>66</x:v>
      </x:c>
      <x:c r="G197" s="6">
        <x:f>D197+E197+F197</x:f>
        <x:v>96</x:v>
      </x:c>
      <x:c r="H197" s="6">
        <x:f>1+SUMPRODUCT(($C$2:$C$271=C197)*($G$2:$G$271&gt;G197))</x:f>
        <x:v>1</x:v>
      </x:c>
      <x:c r="I197" s="7" t="str">
        <x:f>IF(G197&gt;=70,"A",IF(G197&gt;=60,"B",IF(G197&gt;=50,"C",IF(G197&gt;=40,"D","E"))))</x:f>
        <x:v>A</x:v>
      </x:c>
      <x:c r="J197" s="5" t="str">
        <x:f>IF(G197&gt;=70,"Excellent",IF(G197&gt;=60,"Very Good",IF(G197&gt;=50,"Good",IF(G197&gt;=40,"Fair","Needs Improvement"))))</x:f>
        <x:v>Excellent</x:v>
      </x:c>
      <x:c r="K197" s="6" t="n"/>
      <x:c r="L197" s="6" t="n"/>
      <x:c r="M197" s="6" t="n"/>
      <x:c r="N197" s="6" t="n"/>
      <x:c r="O197" s="10" t="n"/>
      <x:c r="P197" s="10" t="n"/>
    </x:row>
    <x:row r="198">
      <x:c r="A198" s="7" t="n"/>
      <x:c r="B198" s="5" t="n"/>
      <x:c r="C198" s="5" t="inlineStr">
        <x:is>
          <x:t xml:space="preserve">Christian Religious Studies</x:t>
        </x:is>
      </x:c>
      <x:c r="D198" s="6" t="n">
        <x:v>7</x:v>
      </x:c>
      <x:c r="E198" s="6" t="n">
        <x:v>11</x:v>
      </x:c>
      <x:c r="F198" s="6" t="n">
        <x:v>61</x:v>
      </x:c>
      <x:c r="G198" s="6">
        <x:f>D198+E198+F198</x:f>
        <x:v>79</x:v>
      </x:c>
      <x:c r="H198" s="6">
        <x:f>1+SUMPRODUCT(($C$2:$C$271=C198)*($G$2:$G$271&gt;G198))</x:f>
        <x:v>13</x:v>
      </x:c>
      <x:c r="I198" s="7" t="str">
        <x:f>IF(G198&gt;=70,"A",IF(G198&gt;=60,"B",IF(G198&gt;=50,"C",IF(G198&gt;=40,"D","E"))))</x:f>
        <x:v>A</x:v>
      </x:c>
      <x:c r="J198" s="5" t="str">
        <x:f>IF(G198&gt;=70,"Excellent",IF(G198&gt;=60,"Very Good",IF(G198&gt;=50,"Good",IF(G198&gt;=40,"Fair","Needs Improvement"))))</x:f>
        <x:v>Excellent</x:v>
      </x:c>
      <x:c r="K198" s="6" t="n"/>
      <x:c r="L198" s="6" t="n"/>
      <x:c r="M198" s="6" t="n"/>
      <x:c r="N198" s="6" t="n"/>
      <x:c r="O198" s="10" t="n"/>
      <x:c r="P198" s="10" t="n"/>
    </x:row>
    <x:row r="199">
      <x:c r="A199" s="7" t="n"/>
      <x:c r="B199" s="5" t="n"/>
      <x:c r="C199" s="5" t="inlineStr">
        <x:is>
          <x:t xml:space="preserve">History Studies</x:t>
        </x:is>
      </x:c>
      <x:c r="D199" s="6" t="n">
        <x:v>5</x:v>
      </x:c>
      <x:c r="E199" s="6" t="n">
        <x:v>17</x:v>
      </x:c>
      <x:c r="F199" s="6" t="n">
        <x:v>53</x:v>
      </x:c>
      <x:c r="G199" s="6">
        <x:f>D199+E199+F199</x:f>
        <x:v>75</x:v>
      </x:c>
      <x:c r="H199" s="6">
        <x:f>1+SUMPRODUCT(($C$2:$C$271=C199)*($G$2:$G$271&gt;G199))</x:f>
        <x:v>13</x:v>
      </x:c>
      <x:c r="I199" s="7" t="str">
        <x:f>IF(G199&gt;=70,"A",IF(G199&gt;=60,"B",IF(G199&gt;=50,"C",IF(G199&gt;=40,"D","E"))))</x:f>
        <x:v>A</x:v>
      </x:c>
      <x:c r="J199" s="5" t="str">
        <x:f>IF(G199&gt;=70,"Excellent",IF(G199&gt;=60,"Very Good",IF(G199&gt;=50,"Good",IF(G199&gt;=40,"Fair","Needs Improvement"))))</x:f>
        <x:v>Excellent</x:v>
      </x:c>
      <x:c r="K199" s="6" t="n"/>
      <x:c r="L199" s="6" t="n"/>
      <x:c r="M199" s="6" t="n"/>
      <x:c r="N199" s="6" t="n"/>
      <x:c r="O199" s="10" t="n"/>
      <x:c r="P199" s="10" t="n"/>
    </x:row>
    <x:row r="200">
      <x:c r="A200" s="3" t="n">
        <x:v>23</x:v>
      </x:c>
      <x:c r="B200" s="4" t="inlineStr">
        <x:is>
          <x:t xml:space="preserve">James Ojo</x:t>
        </x:is>
      </x:c>
      <x:c r="C200" s="5" t="inlineStr">
        <x:is>
          <x:t xml:space="preserve">Mathematics</x:t>
        </x:is>
      </x:c>
      <x:c r="D200" s="6" t="n">
        <x:v>4</x:v>
      </x:c>
      <x:c r="E200" s="6" t="n">
        <x:v>9</x:v>
      </x:c>
      <x:c r="F200" s="6" t="n">
        <x:v>34</x:v>
      </x:c>
      <x:c r="G200" s="6">
        <x:f>D200+E200+F200</x:f>
        <x:v>47</x:v>
      </x:c>
      <x:c r="H200" s="6">
        <x:f>1+SUMPRODUCT(($C$2:$C$271=C200)*($G$2:$G$271&gt;G200))</x:f>
        <x:v>26</x:v>
      </x:c>
      <x:c r="I200" s="7" t="str">
        <x:f>IF(G200&gt;=70,"A",IF(G200&gt;=60,"B",IF(G200&gt;=50,"C",IF(G200&gt;=40,"D","E"))))</x:f>
        <x:v>D</x:v>
      </x:c>
      <x:c r="J200" s="5" t="str">
        <x:f>IF(G200&gt;=70,"Excellent",IF(G200&gt;=60,"Very Good",IF(G200&gt;=50,"Good",IF(G200&gt;=40,"Fair","Needs Improvement"))))</x:f>
        <x:v>Fair</x:v>
      </x:c>
      <x:c r="K200" s="8">
        <x:f>SUM(D200:D208)</x:f>
        <x:v>47</x:v>
      </x:c>
      <x:c r="L200" s="8">
        <x:f>SUM(E200:E208)</x:f>
        <x:v>106</x:v>
      </x:c>
      <x:c r="M200" s="8">
        <x:f>SUM(F200:F208)</x:f>
        <x:v>375</x:v>
      </x:c>
      <x:c r="N200" s="8">
        <x:f>SUM(G200:G208)</x:f>
        <x:v>528</x:v>
      </x:c>
      <x:c r="O200" s="9">
        <x:f>ROUND(AVERAGE(G200:G208),2)</x:f>
        <x:v>58.67</x:v>
      </x:c>
      <x:c r="P200" s="9">
        <x:f>ROUND(AVERAGE($G$2:$G$271),2)</x:f>
        <x:v>67.88</x:v>
      </x:c>
    </x:row>
    <x:row r="201">
      <x:c r="A201" s="7" t="n"/>
      <x:c r="B201" s="5" t="n"/>
      <x:c r="C201" s="5" t="inlineStr">
        <x:is>
          <x:t xml:space="preserve">English Studies</x:t>
        </x:is>
      </x:c>
      <x:c r="D201" s="6" t="n">
        <x:v>7</x:v>
      </x:c>
      <x:c r="E201" s="6" t="n">
        <x:v>7</x:v>
      </x:c>
      <x:c r="F201" s="6" t="n">
        <x:v>41</x:v>
      </x:c>
      <x:c r="G201" s="6">
        <x:f>D201+E201+F201</x:f>
        <x:v>55</x:v>
      </x:c>
      <x:c r="H201" s="6">
        <x:f>1+SUMPRODUCT(($C$2:$C$271=C201)*($G$2:$G$271&gt;G201))</x:f>
        <x:v>22</x:v>
      </x:c>
      <x:c r="I201" s="7" t="str">
        <x:f>IF(G201&gt;=70,"A",IF(G201&gt;=60,"B",IF(G201&gt;=50,"C",IF(G201&gt;=40,"D","E"))))</x:f>
        <x:v>C</x:v>
      </x:c>
      <x:c r="J201" s="5" t="str">
        <x:f>IF(G201&gt;=70,"Excellent",IF(G201&gt;=60,"Very Good",IF(G201&gt;=50,"Good",IF(G201&gt;=40,"Fair","Needs Improvement"))))</x:f>
        <x:v>Good</x:v>
      </x:c>
      <x:c r="K201" s="6" t="n"/>
      <x:c r="L201" s="6" t="n"/>
      <x:c r="M201" s="6" t="n"/>
      <x:c r="N201" s="6" t="n"/>
      <x:c r="O201" s="10" t="n"/>
      <x:c r="P201" s="10" t="n"/>
    </x:row>
    <x:row r="202">
      <x:c r="A202" s="7" t="n"/>
      <x:c r="B202" s="5" t="n"/>
      <x:c r="C202" s="5" t="inlineStr">
        <x:is>
          <x:t xml:space="preserve">Basic Science and Technology</x:t>
        </x:is>
      </x:c>
      <x:c r="D202" s="6" t="n">
        <x:v>2</x:v>
      </x:c>
      <x:c r="E202" s="6" t="n">
        <x:v>9</x:v>
      </x:c>
      <x:c r="F202" s="6" t="n">
        <x:v>36</x:v>
      </x:c>
      <x:c r="G202" s="6">
        <x:f>D202+E202+F202</x:f>
        <x:v>47</x:v>
      </x:c>
      <x:c r="H202" s="6">
        <x:f>1+SUMPRODUCT(($C$2:$C$271=C202)*($G$2:$G$271&gt;G202))</x:f>
        <x:v>28</x:v>
      </x:c>
      <x:c r="I202" s="7" t="str">
        <x:f>IF(G202&gt;=70,"A",IF(G202&gt;=60,"B",IF(G202&gt;=50,"C",IF(G202&gt;=40,"D","E"))))</x:f>
        <x:v>D</x:v>
      </x:c>
      <x:c r="J202" s="5" t="str">
        <x:f>IF(G202&gt;=70,"Excellent",IF(G202&gt;=60,"Very Good",IF(G202&gt;=50,"Good",IF(G202&gt;=40,"Fair","Needs Improvement"))))</x:f>
        <x:v>Fair</x:v>
      </x:c>
      <x:c r="K202" s="6" t="n"/>
      <x:c r="L202" s="6" t="n"/>
      <x:c r="M202" s="6" t="n"/>
      <x:c r="N202" s="6" t="n"/>
      <x:c r="O202" s="10" t="n"/>
      <x:c r="P202" s="10" t="n"/>
    </x:row>
    <x:row r="203">
      <x:c r="A203" s="7" t="n"/>
      <x:c r="B203" s="5" t="n"/>
      <x:c r="C203" s="5" t="inlineStr">
        <x:is>
          <x:t xml:space="preserve">Pre-Vocational Studies</x:t>
        </x:is>
      </x:c>
      <x:c r="D203" s="6" t="n">
        <x:v>6</x:v>
      </x:c>
      <x:c r="E203" s="6" t="n">
        <x:v>16</x:v>
      </x:c>
      <x:c r="F203" s="6" t="n">
        <x:v>50</x:v>
      </x:c>
      <x:c r="G203" s="6">
        <x:f>D203+E203+F203</x:f>
        <x:v>72</x:v>
      </x:c>
      <x:c r="H203" s="6">
        <x:f>1+SUMPRODUCT(($C$2:$C$271=C203)*($G$2:$G$271&gt;G203))</x:f>
        <x:v>10</x:v>
      </x:c>
      <x:c r="I203" s="7" t="str">
        <x:f>IF(G203&gt;=70,"A",IF(G203&gt;=60,"B",IF(G203&gt;=50,"C",IF(G203&gt;=40,"D","E"))))</x:f>
        <x:v>A</x:v>
      </x:c>
      <x:c r="J203" s="5" t="str">
        <x:f>IF(G203&gt;=70,"Excellent",IF(G203&gt;=60,"Very Good",IF(G203&gt;=50,"Good",IF(G203&gt;=40,"Fair","Needs Improvement"))))</x:f>
        <x:v>Excellent</x:v>
      </x:c>
      <x:c r="K203" s="6" t="n"/>
      <x:c r="L203" s="6" t="n"/>
      <x:c r="M203" s="6" t="n"/>
      <x:c r="N203" s="6" t="n"/>
      <x:c r="O203" s="10" t="n"/>
      <x:c r="P203" s="10" t="n"/>
    </x:row>
    <x:row r="204">
      <x:c r="A204" s="7" t="n"/>
      <x:c r="B204" s="5" t="n"/>
      <x:c r="C204" s="5" t="inlineStr">
        <x:is>
          <x:t xml:space="preserve">National Value</x:t>
        </x:is>
      </x:c>
      <x:c r="D204" s="6" t="n">
        <x:v>9</x:v>
      </x:c>
      <x:c r="E204" s="6" t="n">
        <x:v>15</x:v>
      </x:c>
      <x:c r="F204" s="6" t="n">
        <x:v>45</x:v>
      </x:c>
      <x:c r="G204" s="6">
        <x:f>D204+E204+F204</x:f>
        <x:v>69</x:v>
      </x:c>
      <x:c r="H204" s="6">
        <x:f>1+SUMPRODUCT(($C$2:$C$271=C204)*($G$2:$G$271&gt;G204))</x:f>
        <x:v>18</x:v>
      </x:c>
      <x:c r="I204" s="7" t="str">
        <x:f>IF(G204&gt;=70,"A",IF(G204&gt;=60,"B",IF(G204&gt;=50,"C",IF(G204&gt;=40,"D","E"))))</x:f>
        <x:v>B</x:v>
      </x:c>
      <x:c r="J204" s="5" t="str">
        <x:f>IF(G204&gt;=70,"Excellent",IF(G204&gt;=60,"Very Good",IF(G204&gt;=50,"Good",IF(G204&gt;=40,"Fair","Needs Improvement"))))</x:f>
        <x:v>Very Good</x:v>
      </x:c>
      <x:c r="K204" s="6" t="n"/>
      <x:c r="L204" s="6" t="n"/>
      <x:c r="M204" s="6" t="n"/>
      <x:c r="N204" s="6" t="n"/>
      <x:c r="O204" s="10" t="n"/>
      <x:c r="P204" s="10" t="n"/>
    </x:row>
    <x:row r="205">
      <x:c r="A205" s="7" t="n"/>
      <x:c r="B205" s="5" t="n"/>
      <x:c r="C205" s="5" t="inlineStr">
        <x:is>
          <x:t xml:space="preserve">Business Studies</x:t>
        </x:is>
      </x:c>
      <x:c r="D205" s="6" t="n">
        <x:v>6</x:v>
      </x:c>
      <x:c r="E205" s="6" t="n">
        <x:v>7</x:v>
      </x:c>
      <x:c r="F205" s="6" t="n">
        <x:v>49</x:v>
      </x:c>
      <x:c r="G205" s="6">
        <x:f>D205+E205+F205</x:f>
        <x:v>62</x:v>
      </x:c>
      <x:c r="H205" s="6">
        <x:f>1+SUMPRODUCT(($C$2:$C$271=C205)*($G$2:$G$271&gt;G205))</x:f>
        <x:v>19</x:v>
      </x:c>
      <x:c r="I205" s="7" t="str">
        <x:f>IF(G205&gt;=70,"A",IF(G205&gt;=60,"B",IF(G205&gt;=50,"C",IF(G205&gt;=40,"D","E"))))</x:f>
        <x:v>B</x:v>
      </x:c>
      <x:c r="J205" s="5" t="str">
        <x:f>IF(G205&gt;=70,"Excellent",IF(G205&gt;=60,"Very Good",IF(G205&gt;=50,"Good",IF(G205&gt;=40,"Fair","Needs Improvement"))))</x:f>
        <x:v>Very Good</x:v>
      </x:c>
      <x:c r="K205" s="6" t="n"/>
      <x:c r="L205" s="6" t="n"/>
      <x:c r="M205" s="6" t="n"/>
      <x:c r="N205" s="6" t="n"/>
      <x:c r="O205" s="10" t="n"/>
      <x:c r="P205" s="10" t="n"/>
    </x:row>
    <x:row r="206">
      <x:c r="A206" s="7" t="n"/>
      <x:c r="B206" s="5" t="n"/>
      <x:c r="C206" s="5" t="inlineStr">
        <x:is>
          <x:t xml:space="preserve">Creative and Cultural Art</x:t>
        </x:is>
      </x:c>
      <x:c r="D206" s="6" t="n">
        <x:v>2</x:v>
      </x:c>
      <x:c r="E206" s="6" t="n">
        <x:v>10</x:v>
      </x:c>
      <x:c r="F206" s="6" t="n">
        <x:v>32</x:v>
      </x:c>
      <x:c r="G206" s="6">
        <x:f>D206+E206+F206</x:f>
        <x:v>44</x:v>
      </x:c>
      <x:c r="H206" s="6">
        <x:f>1+SUMPRODUCT(($C$2:$C$271=C206)*($G$2:$G$271&gt;G206))</x:f>
        <x:v>28</x:v>
      </x:c>
      <x:c r="I206" s="7" t="str">
        <x:f>IF(G206&gt;=70,"A",IF(G206&gt;=60,"B",IF(G206&gt;=50,"C",IF(G206&gt;=40,"D","E"))))</x:f>
        <x:v>D</x:v>
      </x:c>
      <x:c r="J206" s="5" t="str">
        <x:f>IF(G206&gt;=70,"Excellent",IF(G206&gt;=60,"Very Good",IF(G206&gt;=50,"Good",IF(G206&gt;=40,"Fair","Needs Improvement"))))</x:f>
        <x:v>Fair</x:v>
      </x:c>
      <x:c r="K206" s="6" t="n"/>
      <x:c r="L206" s="6" t="n"/>
      <x:c r="M206" s="6" t="n"/>
      <x:c r="N206" s="6" t="n"/>
      <x:c r="O206" s="10" t="n"/>
      <x:c r="P206" s="10" t="n"/>
    </x:row>
    <x:row r="207">
      <x:c r="A207" s="7" t="n"/>
      <x:c r="B207" s="5" t="n"/>
      <x:c r="C207" s="5" t="inlineStr">
        <x:is>
          <x:t xml:space="preserve">Christian Religious Studies</x:t>
        </x:is>
      </x:c>
      <x:c r="D207" s="6" t="n">
        <x:v>5</x:v>
      </x:c>
      <x:c r="E207" s="6" t="n">
        <x:v>18</x:v>
      </x:c>
      <x:c r="F207" s="6" t="n">
        <x:v>44</x:v>
      </x:c>
      <x:c r="G207" s="6">
        <x:f>D207+E207+F207</x:f>
        <x:v>67</x:v>
      </x:c>
      <x:c r="H207" s="6">
        <x:f>1+SUMPRODUCT(($C$2:$C$271=C207)*($G$2:$G$271&gt;G207))</x:f>
        <x:v>19</x:v>
      </x:c>
      <x:c r="I207" s="7" t="str">
        <x:f>IF(G207&gt;=70,"A",IF(G207&gt;=60,"B",IF(G207&gt;=50,"C",IF(G207&gt;=40,"D","E"))))</x:f>
        <x:v>B</x:v>
      </x:c>
      <x:c r="J207" s="5" t="str">
        <x:f>IF(G207&gt;=70,"Excellent",IF(G207&gt;=60,"Very Good",IF(G207&gt;=50,"Good",IF(G207&gt;=40,"Fair","Needs Improvement"))))</x:f>
        <x:v>Very Good</x:v>
      </x:c>
      <x:c r="K207" s="6" t="n"/>
      <x:c r="L207" s="6" t="n"/>
      <x:c r="M207" s="6" t="n"/>
      <x:c r="N207" s="6" t="n"/>
      <x:c r="O207" s="10" t="n"/>
      <x:c r="P207" s="10" t="n"/>
    </x:row>
    <x:row r="208">
      <x:c r="A208" s="7" t="n"/>
      <x:c r="B208" s="5" t="n"/>
      <x:c r="C208" s="5" t="inlineStr">
        <x:is>
          <x:t xml:space="preserve">History Studies</x:t>
        </x:is>
      </x:c>
      <x:c r="D208" s="6" t="n">
        <x:v>6</x:v>
      </x:c>
      <x:c r="E208" s="6" t="n">
        <x:v>15</x:v>
      </x:c>
      <x:c r="F208" s="6" t="n">
        <x:v>44</x:v>
      </x:c>
      <x:c r="G208" s="6">
        <x:f>D208+E208+F208</x:f>
        <x:v>65</x:v>
      </x:c>
      <x:c r="H208" s="6">
        <x:f>1+SUMPRODUCT(($C$2:$C$271=C208)*($G$2:$G$271&gt;G208))</x:f>
        <x:v>19</x:v>
      </x:c>
      <x:c r="I208" s="7" t="str">
        <x:f>IF(G208&gt;=70,"A",IF(G208&gt;=60,"B",IF(G208&gt;=50,"C",IF(G208&gt;=40,"D","E"))))</x:f>
        <x:v>B</x:v>
      </x:c>
      <x:c r="J208" s="5" t="str">
        <x:f>IF(G208&gt;=70,"Excellent",IF(G208&gt;=60,"Very Good",IF(G208&gt;=50,"Good",IF(G208&gt;=40,"Fair","Needs Improvement"))))</x:f>
        <x:v>Very Good</x:v>
      </x:c>
      <x:c r="K208" s="6" t="n"/>
      <x:c r="L208" s="6" t="n"/>
      <x:c r="M208" s="6" t="n"/>
      <x:c r="N208" s="6" t="n"/>
      <x:c r="O208" s="10" t="n"/>
      <x:c r="P208" s="10" t="n"/>
    </x:row>
    <x:row r="209">
      <x:c r="A209" s="3" t="n">
        <x:v>24</x:v>
      </x:c>
      <x:c r="B209" s="4" t="inlineStr">
        <x:is>
          <x:t xml:space="preserve">Naomi Aliyu</x:t>
        </x:is>
      </x:c>
      <x:c r="C209" s="5" t="inlineStr">
        <x:is>
          <x:t xml:space="preserve">Mathematics</x:t>
        </x:is>
      </x:c>
      <x:c r="D209" s="6" t="n">
        <x:v>9</x:v>
      </x:c>
      <x:c r="E209" s="6" t="n">
        <x:v>17</x:v>
      </x:c>
      <x:c r="F209" s="6" t="n">
        <x:v>53</x:v>
      </x:c>
      <x:c r="G209" s="6">
        <x:f>D209+E209+F209</x:f>
        <x:v>79</x:v>
      </x:c>
      <x:c r="H209" s="6">
        <x:f>1+SUMPRODUCT(($C$2:$C$271=C209)*($G$2:$G$271&gt;G209))</x:f>
        <x:v>4</x:v>
      </x:c>
      <x:c r="I209" s="7" t="str">
        <x:f>IF(G209&gt;=70,"A",IF(G209&gt;=60,"B",IF(G209&gt;=50,"C",IF(G209&gt;=40,"D","E"))))</x:f>
        <x:v>A</x:v>
      </x:c>
      <x:c r="J209" s="5" t="str">
        <x:f>IF(G209&gt;=70,"Excellent",IF(G209&gt;=60,"Very Good",IF(G209&gt;=50,"Good",IF(G209&gt;=40,"Fair","Needs Improvement"))))</x:f>
        <x:v>Excellent</x:v>
      </x:c>
      <x:c r="K209" s="8">
        <x:f>SUM(D209:D217)</x:f>
        <x:v>64</x:v>
      </x:c>
      <x:c r="L209" s="8">
        <x:f>SUM(E209:E217)</x:f>
        <x:v>124</x:v>
      </x:c>
      <x:c r="M209" s="8">
        <x:f>SUM(F209:F217)</x:f>
        <x:v>475</x:v>
      </x:c>
      <x:c r="N209" s="8">
        <x:f>SUM(G209:G217)</x:f>
        <x:v>663</x:v>
      </x:c>
      <x:c r="O209" s="9">
        <x:f>ROUND(AVERAGE(G209:G217),2)</x:f>
        <x:v>73.67</x:v>
      </x:c>
      <x:c r="P209" s="9">
        <x:f>ROUND(AVERAGE($G$2:$G$271),2)</x:f>
        <x:v>67.88</x:v>
      </x:c>
    </x:row>
    <x:row r="210">
      <x:c r="A210" s="7" t="n"/>
      <x:c r="B210" s="5" t="n"/>
      <x:c r="C210" s="5" t="inlineStr">
        <x:is>
          <x:t xml:space="preserve">English Studies</x:t>
        </x:is>
      </x:c>
      <x:c r="D210" s="6" t="n">
        <x:v>9</x:v>
      </x:c>
      <x:c r="E210" s="6" t="n">
        <x:v>16</x:v>
      </x:c>
      <x:c r="F210" s="6" t="n">
        <x:v>51</x:v>
      </x:c>
      <x:c r="G210" s="6">
        <x:f>D210+E210+F210</x:f>
        <x:v>76</x:v>
      </x:c>
      <x:c r="H210" s="6">
        <x:f>1+SUMPRODUCT(($C$2:$C$271=C210)*($G$2:$G$271&gt;G210))</x:f>
        <x:v>9</x:v>
      </x:c>
      <x:c r="I210" s="7" t="str">
        <x:f>IF(G210&gt;=70,"A",IF(G210&gt;=60,"B",IF(G210&gt;=50,"C",IF(G210&gt;=40,"D","E"))))</x:f>
        <x:v>A</x:v>
      </x:c>
      <x:c r="J210" s="5" t="str">
        <x:f>IF(G210&gt;=70,"Excellent",IF(G210&gt;=60,"Very Good",IF(G210&gt;=50,"Good",IF(G210&gt;=40,"Fair","Needs Improvement"))))</x:f>
        <x:v>Excellent</x:v>
      </x:c>
      <x:c r="K210" s="6" t="n"/>
      <x:c r="L210" s="6" t="n"/>
      <x:c r="M210" s="6" t="n"/>
      <x:c r="N210" s="6" t="n"/>
      <x:c r="O210" s="10" t="n"/>
      <x:c r="P210" s="10" t="n"/>
    </x:row>
    <x:row r="211">
      <x:c r="A211" s="7" t="n"/>
      <x:c r="B211" s="5" t="n"/>
      <x:c r="C211" s="5" t="inlineStr">
        <x:is>
          <x:t xml:space="preserve">Basic Science and Technology</x:t>
        </x:is>
      </x:c>
      <x:c r="D211" s="6" t="n">
        <x:v>6</x:v>
      </x:c>
      <x:c r="E211" s="6" t="n">
        <x:v>11</x:v>
      </x:c>
      <x:c r="F211" s="6" t="n">
        <x:v>47</x:v>
      </x:c>
      <x:c r="G211" s="6">
        <x:f>D211+E211+F211</x:f>
        <x:v>64</x:v>
      </x:c>
      <x:c r="H211" s="6">
        <x:f>1+SUMPRODUCT(($C$2:$C$271=C211)*($G$2:$G$271&gt;G211))</x:f>
        <x:v>19</x:v>
      </x:c>
      <x:c r="I211" s="7" t="str">
        <x:f>IF(G211&gt;=70,"A",IF(G211&gt;=60,"B",IF(G211&gt;=50,"C",IF(G211&gt;=40,"D","E"))))</x:f>
        <x:v>B</x:v>
      </x:c>
      <x:c r="J211" s="5" t="str">
        <x:f>IF(G211&gt;=70,"Excellent",IF(G211&gt;=60,"Very Good",IF(G211&gt;=50,"Good",IF(G211&gt;=40,"Fair","Needs Improvement"))))</x:f>
        <x:v>Very Good</x:v>
      </x:c>
      <x:c r="K211" s="6" t="n"/>
      <x:c r="L211" s="6" t="n"/>
      <x:c r="M211" s="6" t="n"/>
      <x:c r="N211" s="6" t="n"/>
      <x:c r="O211" s="10" t="n"/>
      <x:c r="P211" s="10" t="n"/>
    </x:row>
    <x:row r="212">
      <x:c r="A212" s="7" t="n"/>
      <x:c r="B212" s="5" t="n"/>
      <x:c r="C212" s="5" t="inlineStr">
        <x:is>
          <x:t xml:space="preserve">Pre-Vocational Studies</x:t>
        </x:is>
      </x:c>
      <x:c r="D212" s="6" t="n">
        <x:v>5</x:v>
      </x:c>
      <x:c r="E212" s="6" t="n">
        <x:v>9</x:v>
      </x:c>
      <x:c r="F212" s="6" t="n">
        <x:v>43</x:v>
      </x:c>
      <x:c r="G212" s="6">
        <x:f>D212+E212+F212</x:f>
        <x:v>57</x:v>
      </x:c>
      <x:c r="H212" s="6">
        <x:f>1+SUMPRODUCT(($C$2:$C$271=C212)*($G$2:$G$271&gt;G212))</x:f>
        <x:v>22</x:v>
      </x:c>
      <x:c r="I212" s="7" t="str">
        <x:f>IF(G212&gt;=70,"A",IF(G212&gt;=60,"B",IF(G212&gt;=50,"C",IF(G212&gt;=40,"D","E"))))</x:f>
        <x:v>C</x:v>
      </x:c>
      <x:c r="J212" s="5" t="str">
        <x:f>IF(G212&gt;=70,"Excellent",IF(G212&gt;=60,"Very Good",IF(G212&gt;=50,"Good",IF(G212&gt;=40,"Fair","Needs Improvement"))))</x:f>
        <x:v>Good</x:v>
      </x:c>
      <x:c r="K212" s="6" t="n"/>
      <x:c r="L212" s="6" t="n"/>
      <x:c r="M212" s="6" t="n"/>
      <x:c r="N212" s="6" t="n"/>
      <x:c r="O212" s="10" t="n"/>
      <x:c r="P212" s="10" t="n"/>
    </x:row>
    <x:row r="213">
      <x:c r="A213" s="7" t="n"/>
      <x:c r="B213" s="5" t="n"/>
      <x:c r="C213" s="5" t="inlineStr">
        <x:is>
          <x:t xml:space="preserve">National Value</x:t>
        </x:is>
      </x:c>
      <x:c r="D213" s="6" t="n">
        <x:v>6</x:v>
      </x:c>
      <x:c r="E213" s="6" t="n">
        <x:v>15</x:v>
      </x:c>
      <x:c r="F213" s="6" t="n">
        <x:v>56</x:v>
      </x:c>
      <x:c r="G213" s="6">
        <x:f>D213+E213+F213</x:f>
        <x:v>77</x:v>
      </x:c>
      <x:c r="H213" s="6">
        <x:f>1+SUMPRODUCT(($C$2:$C$271=C213)*($G$2:$G$271&gt;G213))</x:f>
        <x:v>10</x:v>
      </x:c>
      <x:c r="I213" s="7" t="str">
        <x:f>IF(G213&gt;=70,"A",IF(G213&gt;=60,"B",IF(G213&gt;=50,"C",IF(G213&gt;=40,"D","E"))))</x:f>
        <x:v>A</x:v>
      </x:c>
      <x:c r="J213" s="5" t="str">
        <x:f>IF(G213&gt;=70,"Excellent",IF(G213&gt;=60,"Very Good",IF(G213&gt;=50,"Good",IF(G213&gt;=40,"Fair","Needs Improvement"))))</x:f>
        <x:v>Excellent</x:v>
      </x:c>
      <x:c r="K213" s="6" t="n"/>
      <x:c r="L213" s="6" t="n"/>
      <x:c r="M213" s="6" t="n"/>
      <x:c r="N213" s="6" t="n"/>
      <x:c r="O213" s="10" t="n"/>
      <x:c r="P213" s="10" t="n"/>
    </x:row>
    <x:row r="214">
      <x:c r="A214" s="7" t="n"/>
      <x:c r="B214" s="5" t="n"/>
      <x:c r="C214" s="5" t="inlineStr">
        <x:is>
          <x:t xml:space="preserve">Business Studies</x:t>
        </x:is>
      </x:c>
      <x:c r="D214" s="6" t="n">
        <x:v>7</x:v>
      </x:c>
      <x:c r="E214" s="6" t="n">
        <x:v>20</x:v>
      </x:c>
      <x:c r="F214" s="6" t="n">
        <x:v>65</x:v>
      </x:c>
      <x:c r="G214" s="6">
        <x:f>D214+E214+F214</x:f>
        <x:v>92</x:v>
      </x:c>
      <x:c r="H214" s="6">
        <x:f>1+SUMPRODUCT(($C$2:$C$271=C214)*($G$2:$G$271&gt;G214))</x:f>
        <x:v>2</x:v>
      </x:c>
      <x:c r="I214" s="7" t="str">
        <x:f>IF(G214&gt;=70,"A",IF(G214&gt;=60,"B",IF(G214&gt;=50,"C",IF(G214&gt;=40,"D","E"))))</x:f>
        <x:v>A</x:v>
      </x:c>
      <x:c r="J214" s="5" t="str">
        <x:f>IF(G214&gt;=70,"Excellent",IF(G214&gt;=60,"Very Good",IF(G214&gt;=50,"Good",IF(G214&gt;=40,"Fair","Needs Improvement"))))</x:f>
        <x:v>Excellent</x:v>
      </x:c>
      <x:c r="K214" s="6" t="n"/>
      <x:c r="L214" s="6" t="n"/>
      <x:c r="M214" s="6" t="n"/>
      <x:c r="N214" s="6" t="n"/>
      <x:c r="O214" s="10" t="n"/>
      <x:c r="P214" s="10" t="n"/>
    </x:row>
    <x:row r="215">
      <x:c r="A215" s="7" t="n"/>
      <x:c r="B215" s="5" t="n"/>
      <x:c r="C215" s="5" t="inlineStr">
        <x:is>
          <x:t xml:space="preserve">Creative and Cultural Art</x:t>
        </x:is>
      </x:c>
      <x:c r="D215" s="6" t="n">
        <x:v>10</x:v>
      </x:c>
      <x:c r="E215" s="6" t="n">
        <x:v>16</x:v>
      </x:c>
      <x:c r="F215" s="6" t="n">
        <x:v>69</x:v>
      </x:c>
      <x:c r="G215" s="6">
        <x:f>D215+E215+F215</x:f>
        <x:v>95</x:v>
      </x:c>
      <x:c r="H215" s="6">
        <x:f>1+SUMPRODUCT(($C$2:$C$271=C215)*($G$2:$G$271&gt;G215))</x:f>
        <x:v>3</x:v>
      </x:c>
      <x:c r="I215" s="7" t="str">
        <x:f>IF(G215&gt;=70,"A",IF(G215&gt;=60,"B",IF(G215&gt;=50,"C",IF(G215&gt;=40,"D","E"))))</x:f>
        <x:v>A</x:v>
      </x:c>
      <x:c r="J215" s="5" t="str">
        <x:f>IF(G215&gt;=70,"Excellent",IF(G215&gt;=60,"Very Good",IF(G215&gt;=50,"Good",IF(G215&gt;=40,"Fair","Needs Improvement"))))</x:f>
        <x:v>Excellent</x:v>
      </x:c>
      <x:c r="K215" s="6" t="n"/>
      <x:c r="L215" s="6" t="n"/>
      <x:c r="M215" s="6" t="n"/>
      <x:c r="N215" s="6" t="n"/>
      <x:c r="O215" s="10" t="n"/>
      <x:c r="P215" s="10" t="n"/>
    </x:row>
    <x:row r="216">
      <x:c r="A216" s="7" t="n"/>
      <x:c r="B216" s="5" t="n"/>
      <x:c r="C216" s="5" t="inlineStr">
        <x:is>
          <x:t xml:space="preserve">Christian Religious Studies</x:t>
        </x:is>
      </x:c>
      <x:c r="D216" s="6" t="n">
        <x:v>6</x:v>
      </x:c>
      <x:c r="E216" s="6" t="n">
        <x:v>11</x:v>
      </x:c>
      <x:c r="F216" s="6" t="n">
        <x:v>44</x:v>
      </x:c>
      <x:c r="G216" s="6">
        <x:f>D216+E216+F216</x:f>
        <x:v>61</x:v>
      </x:c>
      <x:c r="H216" s="6">
        <x:f>1+SUMPRODUCT(($C$2:$C$271=C216)*($G$2:$G$271&gt;G216))</x:f>
        <x:v>22</x:v>
      </x:c>
      <x:c r="I216" s="7" t="str">
        <x:f>IF(G216&gt;=70,"A",IF(G216&gt;=60,"B",IF(G216&gt;=50,"C",IF(G216&gt;=40,"D","E"))))</x:f>
        <x:v>B</x:v>
      </x:c>
      <x:c r="J216" s="5" t="str">
        <x:f>IF(G216&gt;=70,"Excellent",IF(G216&gt;=60,"Very Good",IF(G216&gt;=50,"Good",IF(G216&gt;=40,"Fair","Needs Improvement"))))</x:f>
        <x:v>Very Good</x:v>
      </x:c>
      <x:c r="K216" s="6" t="n"/>
      <x:c r="L216" s="6" t="n"/>
      <x:c r="M216" s="6" t="n"/>
      <x:c r="N216" s="6" t="n"/>
      <x:c r="O216" s="10" t="n"/>
      <x:c r="P216" s="10" t="n"/>
    </x:row>
    <x:row r="217">
      <x:c r="A217" s="7" t="n"/>
      <x:c r="B217" s="5" t="n"/>
      <x:c r="C217" s="5" t="inlineStr">
        <x:is>
          <x:t xml:space="preserve">History Studies</x:t>
        </x:is>
      </x:c>
      <x:c r="D217" s="6" t="n">
        <x:v>6</x:v>
      </x:c>
      <x:c r="E217" s="6" t="n">
        <x:v>9</x:v>
      </x:c>
      <x:c r="F217" s="6" t="n">
        <x:v>47</x:v>
      </x:c>
      <x:c r="G217" s="6">
        <x:f>D217+E217+F217</x:f>
        <x:v>62</x:v>
      </x:c>
      <x:c r="H217" s="6">
        <x:f>1+SUMPRODUCT(($C$2:$C$271=C217)*($G$2:$G$271&gt;G217))</x:f>
        <x:v>21</x:v>
      </x:c>
      <x:c r="I217" s="7" t="str">
        <x:f>IF(G217&gt;=70,"A",IF(G217&gt;=60,"B",IF(G217&gt;=50,"C",IF(G217&gt;=40,"D","E"))))</x:f>
        <x:v>B</x:v>
      </x:c>
      <x:c r="J217" s="5" t="str">
        <x:f>IF(G217&gt;=70,"Excellent",IF(G217&gt;=60,"Very Good",IF(G217&gt;=50,"Good",IF(G217&gt;=40,"Fair","Needs Improvement"))))</x:f>
        <x:v>Very Good</x:v>
      </x:c>
      <x:c r="K217" s="6" t="n"/>
      <x:c r="L217" s="6" t="n"/>
      <x:c r="M217" s="6" t="n"/>
      <x:c r="N217" s="6" t="n"/>
      <x:c r="O217" s="10" t="n"/>
      <x:c r="P217" s="10" t="n"/>
    </x:row>
    <x:row r="218">
      <x:c r="A218" s="3" t="n">
        <x:v>25</x:v>
      </x:c>
      <x:c r="B218" s="4" t="inlineStr">
        <x:is>
          <x:t xml:space="preserve">Joseph Usman</x:t>
        </x:is>
      </x:c>
      <x:c r="C218" s="5" t="inlineStr">
        <x:is>
          <x:t xml:space="preserve">Mathematics</x:t>
        </x:is>
      </x:c>
      <x:c r="D218" s="6" t="n">
        <x:v>8</x:v>
      </x:c>
      <x:c r="E218" s="6" t="n">
        <x:v>12</x:v>
      </x:c>
      <x:c r="F218" s="6" t="n">
        <x:v>56</x:v>
      </x:c>
      <x:c r="G218" s="6">
        <x:f>D218+E218+F218</x:f>
        <x:v>76</x:v>
      </x:c>
      <x:c r="H218" s="6">
        <x:f>1+SUMPRODUCT(($C$2:$C$271=C218)*($G$2:$G$271&gt;G218))</x:f>
        <x:v>6</x:v>
      </x:c>
      <x:c r="I218" s="7" t="str">
        <x:f>IF(G218&gt;=70,"A",IF(G218&gt;=60,"B",IF(G218&gt;=50,"C",IF(G218&gt;=40,"D","E"))))</x:f>
        <x:v>A</x:v>
      </x:c>
      <x:c r="J218" s="5" t="str">
        <x:f>IF(G218&gt;=70,"Excellent",IF(G218&gt;=60,"Very Good",IF(G218&gt;=50,"Good",IF(G218&gt;=40,"Fair","Needs Improvement"))))</x:f>
        <x:v>Excellent</x:v>
      </x:c>
      <x:c r="K218" s="8">
        <x:f>SUM(D218:D226)</x:f>
        <x:v>63</x:v>
      </x:c>
      <x:c r="L218" s="8">
        <x:f>SUM(E218:E226)</x:f>
        <x:v>133</x:v>
      </x:c>
      <x:c r="M218" s="8">
        <x:f>SUM(F218:F226)</x:f>
        <x:v>560</x:v>
      </x:c>
      <x:c r="N218" s="8">
        <x:f>SUM(G218:G226)</x:f>
        <x:v>756</x:v>
      </x:c>
      <x:c r="O218" s="9">
        <x:f>ROUND(AVERAGE(G218:G226),2)</x:f>
        <x:v>84</x:v>
      </x:c>
      <x:c r="P218" s="9">
        <x:f>ROUND(AVERAGE($G$2:$G$271),2)</x:f>
        <x:v>67.88</x:v>
      </x:c>
    </x:row>
    <x:row r="219">
      <x:c r="A219" s="7" t="n"/>
      <x:c r="B219" s="5" t="n"/>
      <x:c r="C219" s="5" t="inlineStr">
        <x:is>
          <x:t xml:space="preserve">English Studies</x:t>
        </x:is>
      </x:c>
      <x:c r="D219" s="6" t="n">
        <x:v>9</x:v>
      </x:c>
      <x:c r="E219" s="6" t="n">
        <x:v>11</x:v>
      </x:c>
      <x:c r="F219" s="6" t="n">
        <x:v>51</x:v>
      </x:c>
      <x:c r="G219" s="6">
        <x:f>D219+E219+F219</x:f>
        <x:v>71</x:v>
      </x:c>
      <x:c r="H219" s="6">
        <x:f>1+SUMPRODUCT(($C$2:$C$271=C219)*($G$2:$G$271&gt;G219))</x:f>
        <x:v>12</x:v>
      </x:c>
      <x:c r="I219" s="7" t="str">
        <x:f>IF(G219&gt;=70,"A",IF(G219&gt;=60,"B",IF(G219&gt;=50,"C",IF(G219&gt;=40,"D","E"))))</x:f>
        <x:v>A</x:v>
      </x:c>
      <x:c r="J219" s="5" t="str">
        <x:f>IF(G219&gt;=70,"Excellent",IF(G219&gt;=60,"Very Good",IF(G219&gt;=50,"Good",IF(G219&gt;=40,"Fair","Needs Improvement"))))</x:f>
        <x:v>Excellent</x:v>
      </x:c>
      <x:c r="K219" s="6" t="n"/>
      <x:c r="L219" s="6" t="n"/>
      <x:c r="M219" s="6" t="n"/>
      <x:c r="N219" s="6" t="n"/>
      <x:c r="O219" s="10" t="n"/>
      <x:c r="P219" s="10" t="n"/>
    </x:row>
    <x:row r="220">
      <x:c r="A220" s="7" t="n"/>
      <x:c r="B220" s="5" t="n"/>
      <x:c r="C220" s="5" t="inlineStr">
        <x:is>
          <x:t xml:space="preserve">Basic Science and Technology</x:t>
        </x:is>
      </x:c>
      <x:c r="D220" s="6" t="n">
        <x:v>6</x:v>
      </x:c>
      <x:c r="E220" s="6" t="n">
        <x:v>13</x:v>
      </x:c>
      <x:c r="F220" s="6" t="n">
        <x:v>70</x:v>
      </x:c>
      <x:c r="G220" s="6">
        <x:f>D220+E220+F220</x:f>
        <x:v>89</x:v>
      </x:c>
      <x:c r="H220" s="6">
        <x:f>1+SUMPRODUCT(($C$2:$C$271=C220)*($G$2:$G$271&gt;G220))</x:f>
        <x:v>2</x:v>
      </x:c>
      <x:c r="I220" s="7" t="str">
        <x:f>IF(G220&gt;=70,"A",IF(G220&gt;=60,"B",IF(G220&gt;=50,"C",IF(G220&gt;=40,"D","E"))))</x:f>
        <x:v>A</x:v>
      </x:c>
      <x:c r="J220" s="5" t="str">
        <x:f>IF(G220&gt;=70,"Excellent",IF(G220&gt;=60,"Very Good",IF(G220&gt;=50,"Good",IF(G220&gt;=40,"Fair","Needs Improvement"))))</x:f>
        <x:v>Excellent</x:v>
      </x:c>
      <x:c r="K220" s="6" t="n"/>
      <x:c r="L220" s="6" t="n"/>
      <x:c r="M220" s="6" t="n"/>
      <x:c r="N220" s="6" t="n"/>
      <x:c r="O220" s="10" t="n"/>
      <x:c r="P220" s="10" t="n"/>
    </x:row>
    <x:row r="221">
      <x:c r="A221" s="7" t="n"/>
      <x:c r="B221" s="5" t="n"/>
      <x:c r="C221" s="5" t="inlineStr">
        <x:is>
          <x:t xml:space="preserve">Pre-Vocational Studies</x:t>
        </x:is>
      </x:c>
      <x:c r="D221" s="6" t="n">
        <x:v>9</x:v>
      </x:c>
      <x:c r="E221" s="6" t="n">
        <x:v>20</x:v>
      </x:c>
      <x:c r="F221" s="6" t="n">
        <x:v>65</x:v>
      </x:c>
      <x:c r="G221" s="6">
        <x:f>D221+E221+F221</x:f>
        <x:v>94</x:v>
      </x:c>
      <x:c r="H221" s="6">
        <x:f>1+SUMPRODUCT(($C$2:$C$271=C221)*($G$2:$G$271&gt;G221))</x:f>
        <x:v>1</x:v>
      </x:c>
      <x:c r="I221" s="7" t="str">
        <x:f>IF(G221&gt;=70,"A",IF(G221&gt;=60,"B",IF(G221&gt;=50,"C",IF(G221&gt;=40,"D","E"))))</x:f>
        <x:v>A</x:v>
      </x:c>
      <x:c r="J221" s="5" t="str">
        <x:f>IF(G221&gt;=70,"Excellent",IF(G221&gt;=60,"Very Good",IF(G221&gt;=50,"Good",IF(G221&gt;=40,"Fair","Needs Improvement"))))</x:f>
        <x:v>Excellent</x:v>
      </x:c>
      <x:c r="K221" s="6" t="n"/>
      <x:c r="L221" s="6" t="n"/>
      <x:c r="M221" s="6" t="n"/>
      <x:c r="N221" s="6" t="n"/>
      <x:c r="O221" s="10" t="n"/>
      <x:c r="P221" s="10" t="n"/>
    </x:row>
    <x:row r="222">
      <x:c r="A222" s="7" t="n"/>
      <x:c r="B222" s="5" t="n"/>
      <x:c r="C222" s="5" t="inlineStr">
        <x:is>
          <x:t xml:space="preserve">National Value</x:t>
        </x:is>
      </x:c>
      <x:c r="D222" s="6" t="n">
        <x:v>7</x:v>
      </x:c>
      <x:c r="E222" s="6" t="n">
        <x:v>13</x:v>
      </x:c>
      <x:c r="F222" s="6" t="n">
        <x:v>64</x:v>
      </x:c>
      <x:c r="G222" s="6">
        <x:f>D222+E222+F222</x:f>
        <x:v>84</x:v>
      </x:c>
      <x:c r="H222" s="6">
        <x:f>1+SUMPRODUCT(($C$2:$C$271=C222)*($G$2:$G$271&gt;G222))</x:f>
        <x:v>5</x:v>
      </x:c>
      <x:c r="I222" s="7" t="str">
        <x:f>IF(G222&gt;=70,"A",IF(G222&gt;=60,"B",IF(G222&gt;=50,"C",IF(G222&gt;=40,"D","E"))))</x:f>
        <x:v>A</x:v>
      </x:c>
      <x:c r="J222" s="5" t="str">
        <x:f>IF(G222&gt;=70,"Excellent",IF(G222&gt;=60,"Very Good",IF(G222&gt;=50,"Good",IF(G222&gt;=40,"Fair","Needs Improvement"))))</x:f>
        <x:v>Excellent</x:v>
      </x:c>
      <x:c r="K222" s="6" t="n"/>
      <x:c r="L222" s="6" t="n"/>
      <x:c r="M222" s="6" t="n"/>
      <x:c r="N222" s="6" t="n"/>
      <x:c r="O222" s="10" t="n"/>
      <x:c r="P222" s="10" t="n"/>
    </x:row>
    <x:row r="223">
      <x:c r="A223" s="7" t="n"/>
      <x:c r="B223" s="5" t="n"/>
      <x:c r="C223" s="5" t="inlineStr">
        <x:is>
          <x:t xml:space="preserve">Business Studies</x:t>
        </x:is>
      </x:c>
      <x:c r="D223" s="6" t="n">
        <x:v>5</x:v>
      </x:c>
      <x:c r="E223" s="6" t="n">
        <x:v>12</x:v>
      </x:c>
      <x:c r="F223" s="6" t="n">
        <x:v>63</x:v>
      </x:c>
      <x:c r="G223" s="6">
        <x:f>D223+E223+F223</x:f>
        <x:v>80</x:v>
      </x:c>
      <x:c r="H223" s="6">
        <x:f>1+SUMPRODUCT(($C$2:$C$271=C223)*($G$2:$G$271&gt;G223))</x:f>
        <x:v>9</x:v>
      </x:c>
      <x:c r="I223" s="7" t="str">
        <x:f>IF(G223&gt;=70,"A",IF(G223&gt;=60,"B",IF(G223&gt;=50,"C",IF(G223&gt;=40,"D","E"))))</x:f>
        <x:v>A</x:v>
      </x:c>
      <x:c r="J223" s="5" t="str">
        <x:f>IF(G223&gt;=70,"Excellent",IF(G223&gt;=60,"Very Good",IF(G223&gt;=50,"Good",IF(G223&gt;=40,"Fair","Needs Improvement"))))</x:f>
        <x:v>Excellent</x:v>
      </x:c>
      <x:c r="K223" s="6" t="n"/>
      <x:c r="L223" s="6" t="n"/>
      <x:c r="M223" s="6" t="n"/>
      <x:c r="N223" s="6" t="n"/>
      <x:c r="O223" s="10" t="n"/>
      <x:c r="P223" s="10" t="n"/>
    </x:row>
    <x:row r="224">
      <x:c r="A224" s="7" t="n"/>
      <x:c r="B224" s="5" t="n"/>
      <x:c r="C224" s="5" t="inlineStr">
        <x:is>
          <x:t xml:space="preserve">Creative and Cultural Art</x:t>
        </x:is>
      </x:c>
      <x:c r="D224" s="6" t="n">
        <x:v>6</x:v>
      </x:c>
      <x:c r="E224" s="6" t="n">
        <x:v>20</x:v>
      </x:c>
      <x:c r="F224" s="6" t="n">
        <x:v>68</x:v>
      </x:c>
      <x:c r="G224" s="6">
        <x:f>D224+E224+F224</x:f>
        <x:v>94</x:v>
      </x:c>
      <x:c r="H224" s="6">
        <x:f>1+SUMPRODUCT(($C$2:$C$271=C224)*($G$2:$G$271&gt;G224))</x:f>
        <x:v>4</x:v>
      </x:c>
      <x:c r="I224" s="7" t="str">
        <x:f>IF(G224&gt;=70,"A",IF(G224&gt;=60,"B",IF(G224&gt;=50,"C",IF(G224&gt;=40,"D","E"))))</x:f>
        <x:v>A</x:v>
      </x:c>
      <x:c r="J224" s="5" t="str">
        <x:f>IF(G224&gt;=70,"Excellent",IF(G224&gt;=60,"Very Good",IF(G224&gt;=50,"Good",IF(G224&gt;=40,"Fair","Needs Improvement"))))</x:f>
        <x:v>Excellent</x:v>
      </x:c>
      <x:c r="K224" s="6" t="n"/>
      <x:c r="L224" s="6" t="n"/>
      <x:c r="M224" s="6" t="n"/>
      <x:c r="N224" s="6" t="n"/>
      <x:c r="O224" s="10" t="n"/>
      <x:c r="P224" s="10" t="n"/>
    </x:row>
    <x:row r="225">
      <x:c r="A225" s="7" t="n"/>
      <x:c r="B225" s="5" t="n"/>
      <x:c r="C225" s="5" t="inlineStr">
        <x:is>
          <x:t xml:space="preserve">Christian Religious Studies</x:t>
        </x:is>
      </x:c>
      <x:c r="D225" s="6" t="n">
        <x:v>7</x:v>
      </x:c>
      <x:c r="E225" s="6" t="n">
        <x:v>16</x:v>
      </x:c>
      <x:c r="F225" s="6" t="n">
        <x:v>59</x:v>
      </x:c>
      <x:c r="G225" s="6">
        <x:f>D225+E225+F225</x:f>
        <x:v>82</x:v>
      </x:c>
      <x:c r="H225" s="6">
        <x:f>1+SUMPRODUCT(($C$2:$C$271=C225)*($G$2:$G$271&gt;G225))</x:f>
        <x:v>9</x:v>
      </x:c>
      <x:c r="I225" s="7" t="str">
        <x:f>IF(G225&gt;=70,"A",IF(G225&gt;=60,"B",IF(G225&gt;=50,"C",IF(G225&gt;=40,"D","E"))))</x:f>
        <x:v>A</x:v>
      </x:c>
      <x:c r="J225" s="5" t="str">
        <x:f>IF(G225&gt;=70,"Excellent",IF(G225&gt;=60,"Very Good",IF(G225&gt;=50,"Good",IF(G225&gt;=40,"Fair","Needs Improvement"))))</x:f>
        <x:v>Excellent</x:v>
      </x:c>
      <x:c r="K225" s="6" t="n"/>
      <x:c r="L225" s="6" t="n"/>
      <x:c r="M225" s="6" t="n"/>
      <x:c r="N225" s="6" t="n"/>
      <x:c r="O225" s="10" t="n"/>
      <x:c r="P225" s="10" t="n"/>
    </x:row>
    <x:row r="226">
      <x:c r="A226" s="7" t="n"/>
      <x:c r="B226" s="5" t="n"/>
      <x:c r="C226" s="5" t="inlineStr">
        <x:is>
          <x:t xml:space="preserve">History Studies</x:t>
        </x:is>
      </x:c>
      <x:c r="D226" s="6" t="n">
        <x:v>6</x:v>
      </x:c>
      <x:c r="E226" s="6" t="n">
        <x:v>16</x:v>
      </x:c>
      <x:c r="F226" s="6" t="n">
        <x:v>64</x:v>
      </x:c>
      <x:c r="G226" s="6">
        <x:f>D226+E226+F226</x:f>
        <x:v>86</x:v>
      </x:c>
      <x:c r="H226" s="6">
        <x:f>1+SUMPRODUCT(($C$2:$C$271=C226)*($G$2:$G$271&gt;G226))</x:f>
        <x:v>4</x:v>
      </x:c>
      <x:c r="I226" s="7" t="str">
        <x:f>IF(G226&gt;=70,"A",IF(G226&gt;=60,"B",IF(G226&gt;=50,"C",IF(G226&gt;=40,"D","E"))))</x:f>
        <x:v>A</x:v>
      </x:c>
      <x:c r="J226" s="5" t="str">
        <x:f>IF(G226&gt;=70,"Excellent",IF(G226&gt;=60,"Very Good",IF(G226&gt;=50,"Good",IF(G226&gt;=40,"Fair","Needs Improvement"))))</x:f>
        <x:v>Excellent</x:v>
      </x:c>
      <x:c r="K226" s="6" t="n"/>
      <x:c r="L226" s="6" t="n"/>
      <x:c r="M226" s="6" t="n"/>
      <x:c r="N226" s="6" t="n"/>
      <x:c r="O226" s="10" t="n"/>
      <x:c r="P226" s="10" t="n"/>
    </x:row>
    <x:row r="227">
      <x:c r="A227" s="3" t="n">
        <x:v>26</x:v>
      </x:c>
      <x:c r="B227" s="4" t="inlineStr">
        <x:is>
          <x:t xml:space="preserve">Sarah Bello</x:t>
        </x:is>
      </x:c>
      <x:c r="C227" s="5" t="inlineStr">
        <x:is>
          <x:t xml:space="preserve">Mathematics</x:t>
        </x:is>
      </x:c>
      <x:c r="D227" s="6" t="n">
        <x:v>6</x:v>
      </x:c>
      <x:c r="E227" s="6" t="n">
        <x:v>14</x:v>
      </x:c>
      <x:c r="F227" s="6" t="n">
        <x:v>39</x:v>
      </x:c>
      <x:c r="G227" s="6">
        <x:f>D227+E227+F227</x:f>
        <x:v>59</x:v>
      </x:c>
      <x:c r="H227" s="6">
        <x:f>1+SUMPRODUCT(($C$2:$C$271=C227)*($G$2:$G$271&gt;G227))</x:f>
        <x:v>18</x:v>
      </x:c>
      <x:c r="I227" s="7" t="str">
        <x:f>IF(G227&gt;=70,"A",IF(G227&gt;=60,"B",IF(G227&gt;=50,"C",IF(G227&gt;=40,"D","E"))))</x:f>
        <x:v>C</x:v>
      </x:c>
      <x:c r="J227" s="5" t="str">
        <x:f>IF(G227&gt;=70,"Excellent",IF(G227&gt;=60,"Very Good",IF(G227&gt;=50,"Good",IF(G227&gt;=40,"Fair","Needs Improvement"))))</x:f>
        <x:v>Good</x:v>
      </x:c>
      <x:c r="K227" s="8">
        <x:f>SUM(D227:D235)</x:f>
        <x:v>47</x:v>
      </x:c>
      <x:c r="L227" s="8">
        <x:f>SUM(E227:E235)</x:f>
        <x:v>90</x:v>
      </x:c>
      <x:c r="M227" s="8">
        <x:f>SUM(F227:F235)</x:f>
        <x:v>311</x:v>
      </x:c>
      <x:c r="N227" s="8">
        <x:f>SUM(G227:G235)</x:f>
        <x:v>448</x:v>
      </x:c>
      <x:c r="O227" s="9">
        <x:f>ROUND(AVERAGE(G227:G235),2)</x:f>
        <x:v>49.78</x:v>
      </x:c>
      <x:c r="P227" s="9">
        <x:f>ROUND(AVERAGE($G$2:$G$271),2)</x:f>
        <x:v>67.88</x:v>
      </x:c>
    </x:row>
    <x:row r="228">
      <x:c r="A228" s="7" t="n"/>
      <x:c r="B228" s="5" t="n"/>
      <x:c r="C228" s="5" t="inlineStr">
        <x:is>
          <x:t xml:space="preserve">English Studies</x:t>
        </x:is>
      </x:c>
      <x:c r="D228" s="6" t="n">
        <x:v>8</x:v>
      </x:c>
      <x:c r="E228" s="6" t="n">
        <x:v>13</x:v>
      </x:c>
      <x:c r="F228" s="6" t="n">
        <x:v>35</x:v>
      </x:c>
      <x:c r="G228" s="6">
        <x:f>D228+E228+F228</x:f>
        <x:v>56</x:v>
      </x:c>
      <x:c r="H228" s="6">
        <x:f>1+SUMPRODUCT(($C$2:$C$271=C228)*($G$2:$G$271&gt;G228))</x:f>
        <x:v>20</x:v>
      </x:c>
      <x:c r="I228" s="7" t="str">
        <x:f>IF(G228&gt;=70,"A",IF(G228&gt;=60,"B",IF(G228&gt;=50,"C",IF(G228&gt;=40,"D","E"))))</x:f>
        <x:v>C</x:v>
      </x:c>
      <x:c r="J228" s="5" t="str">
        <x:f>IF(G228&gt;=70,"Excellent",IF(G228&gt;=60,"Very Good",IF(G228&gt;=50,"Good",IF(G228&gt;=40,"Fair","Needs Improvement"))))</x:f>
        <x:v>Good</x:v>
      </x:c>
      <x:c r="K228" s="6" t="n"/>
      <x:c r="L228" s="6" t="n"/>
      <x:c r="M228" s="6" t="n"/>
      <x:c r="N228" s="6" t="n"/>
      <x:c r="O228" s="10" t="n"/>
      <x:c r="P228" s="10" t="n"/>
    </x:row>
    <x:row r="229">
      <x:c r="A229" s="7" t="n"/>
      <x:c r="B229" s="5" t="n"/>
      <x:c r="C229" s="5" t="inlineStr">
        <x:is>
          <x:t xml:space="preserve">Basic Science and Technology</x:t>
        </x:is>
      </x:c>
      <x:c r="D229" s="6" t="n">
        <x:v>4</x:v>
      </x:c>
      <x:c r="E229" s="6" t="n">
        <x:v>8</x:v>
      </x:c>
      <x:c r="F229" s="6" t="n">
        <x:v>37</x:v>
      </x:c>
      <x:c r="G229" s="6">
        <x:f>D229+E229+F229</x:f>
        <x:v>49</x:v>
      </x:c>
      <x:c r="H229" s="6">
        <x:f>1+SUMPRODUCT(($C$2:$C$271=C229)*($G$2:$G$271&gt;G229))</x:f>
        <x:v>26</x:v>
      </x:c>
      <x:c r="I229" s="7" t="str">
        <x:f>IF(G229&gt;=70,"A",IF(G229&gt;=60,"B",IF(G229&gt;=50,"C",IF(G229&gt;=40,"D","E"))))</x:f>
        <x:v>D</x:v>
      </x:c>
      <x:c r="J229" s="5" t="str">
        <x:f>IF(G229&gt;=70,"Excellent",IF(G229&gt;=60,"Very Good",IF(G229&gt;=50,"Good",IF(G229&gt;=40,"Fair","Needs Improvement"))))</x:f>
        <x:v>Fair</x:v>
      </x:c>
      <x:c r="K229" s="6" t="n"/>
      <x:c r="L229" s="6" t="n"/>
      <x:c r="M229" s="6" t="n"/>
      <x:c r="N229" s="6" t="n"/>
      <x:c r="O229" s="10" t="n"/>
      <x:c r="P229" s="10" t="n"/>
    </x:row>
    <x:row r="230">
      <x:c r="A230" s="7" t="n"/>
      <x:c r="B230" s="5" t="n"/>
      <x:c r="C230" s="5" t="inlineStr">
        <x:is>
          <x:t xml:space="preserve">Pre-Vocational Studies</x:t>
        </x:is>
      </x:c>
      <x:c r="D230" s="6" t="n">
        <x:v>4</x:v>
      </x:c>
      <x:c r="E230" s="6" t="n">
        <x:v>15</x:v>
      </x:c>
      <x:c r="F230" s="6" t="n">
        <x:v>42</x:v>
      </x:c>
      <x:c r="G230" s="6">
        <x:f>D230+E230+F230</x:f>
        <x:v>61</x:v>
      </x:c>
      <x:c r="H230" s="6">
        <x:f>1+SUMPRODUCT(($C$2:$C$271=C230)*($G$2:$G$271&gt;G230))</x:f>
        <x:v>19</x:v>
      </x:c>
      <x:c r="I230" s="7" t="str">
        <x:f>IF(G230&gt;=70,"A",IF(G230&gt;=60,"B",IF(G230&gt;=50,"C",IF(G230&gt;=40,"D","E"))))</x:f>
        <x:v>B</x:v>
      </x:c>
      <x:c r="J230" s="5" t="str">
        <x:f>IF(G230&gt;=70,"Excellent",IF(G230&gt;=60,"Very Good",IF(G230&gt;=50,"Good",IF(G230&gt;=40,"Fair","Needs Improvement"))))</x:f>
        <x:v>Very Good</x:v>
      </x:c>
      <x:c r="K230" s="6" t="n"/>
      <x:c r="L230" s="6" t="n"/>
      <x:c r="M230" s="6" t="n"/>
      <x:c r="N230" s="6" t="n"/>
      <x:c r="O230" s="10" t="n"/>
      <x:c r="P230" s="10" t="n"/>
    </x:row>
    <x:row r="231">
      <x:c r="A231" s="7" t="n"/>
      <x:c r="B231" s="5" t="n"/>
      <x:c r="C231" s="5" t="inlineStr">
        <x:is>
          <x:t xml:space="preserve">National Value</x:t>
        </x:is>
      </x:c>
      <x:c r="D231" s="6" t="n">
        <x:v>6</x:v>
      </x:c>
      <x:c r="E231" s="6" t="n">
        <x:v>7</x:v>
      </x:c>
      <x:c r="F231" s="6" t="n">
        <x:v>32</x:v>
      </x:c>
      <x:c r="G231" s="6">
        <x:f>D231+E231+F231</x:f>
        <x:v>45</x:v>
      </x:c>
      <x:c r="H231" s="6">
        <x:f>1+SUMPRODUCT(($C$2:$C$271=C231)*($G$2:$G$271&gt;G231))</x:f>
        <x:v>28</x:v>
      </x:c>
      <x:c r="I231" s="7" t="str">
        <x:f>IF(G231&gt;=70,"A",IF(G231&gt;=60,"B",IF(G231&gt;=50,"C",IF(G231&gt;=40,"D","E"))))</x:f>
        <x:v>D</x:v>
      </x:c>
      <x:c r="J231" s="5" t="str">
        <x:f>IF(G231&gt;=70,"Excellent",IF(G231&gt;=60,"Very Good",IF(G231&gt;=50,"Good",IF(G231&gt;=40,"Fair","Needs Improvement"))))</x:f>
        <x:v>Fair</x:v>
      </x:c>
      <x:c r="K231" s="6" t="n"/>
      <x:c r="L231" s="6" t="n"/>
      <x:c r="M231" s="6" t="n"/>
      <x:c r="N231" s="6" t="n"/>
      <x:c r="O231" s="10" t="n"/>
      <x:c r="P231" s="10" t="n"/>
    </x:row>
    <x:row r="232">
      <x:c r="A232" s="7" t="n"/>
      <x:c r="B232" s="5" t="n"/>
      <x:c r="C232" s="5" t="inlineStr">
        <x:is>
          <x:t xml:space="preserve">Business Studies</x:t>
        </x:is>
      </x:c>
      <x:c r="D232" s="6" t="n">
        <x:v>8</x:v>
      </x:c>
      <x:c r="E232" s="6" t="n">
        <x:v>10</x:v>
      </x:c>
      <x:c r="F232" s="6" t="n">
        <x:v>39</x:v>
      </x:c>
      <x:c r="G232" s="6">
        <x:f>D232+E232+F232</x:f>
        <x:v>57</x:v>
      </x:c>
      <x:c r="H232" s="6">
        <x:f>1+SUMPRODUCT(($C$2:$C$271=C232)*($G$2:$G$271&gt;G232))</x:f>
        <x:v>25</x:v>
      </x:c>
      <x:c r="I232" s="7" t="str">
        <x:f>IF(G232&gt;=70,"A",IF(G232&gt;=60,"B",IF(G232&gt;=50,"C",IF(G232&gt;=40,"D","E"))))</x:f>
        <x:v>C</x:v>
      </x:c>
      <x:c r="J232" s="5" t="str">
        <x:f>IF(G232&gt;=70,"Excellent",IF(G232&gt;=60,"Very Good",IF(G232&gt;=50,"Good",IF(G232&gt;=40,"Fair","Needs Improvement"))))</x:f>
        <x:v>Good</x:v>
      </x:c>
      <x:c r="K232" s="6" t="n"/>
      <x:c r="L232" s="6" t="n"/>
      <x:c r="M232" s="6" t="n"/>
      <x:c r="N232" s="6" t="n"/>
      <x:c r="O232" s="10" t="n"/>
      <x:c r="P232" s="10" t="n"/>
    </x:row>
    <x:row r="233">
      <x:c r="A233" s="7" t="n"/>
      <x:c r="B233" s="5" t="n"/>
      <x:c r="C233" s="5" t="inlineStr">
        <x:is>
          <x:t xml:space="preserve">Creative and Cultural Art</x:t>
        </x:is>
      </x:c>
      <x:c r="D233" s="6" t="n">
        <x:v>2</x:v>
      </x:c>
      <x:c r="E233" s="6" t="n">
        <x:v>7</x:v>
      </x:c>
      <x:c r="F233" s="6" t="n">
        <x:v>25</x:v>
      </x:c>
      <x:c r="G233" s="6">
        <x:f>D233+E233+F233</x:f>
        <x:v>34</x:v>
      </x:c>
      <x:c r="H233" s="6">
        <x:f>1+SUMPRODUCT(($C$2:$C$271=C233)*($G$2:$G$271&gt;G233))</x:f>
        <x:v>29</x:v>
      </x:c>
      <x:c r="I233" s="7" t="str">
        <x:f>IF(G233&gt;=70,"A",IF(G233&gt;=60,"B",IF(G233&gt;=50,"C",IF(G233&gt;=40,"D","E"))))</x:f>
        <x:v>E</x:v>
      </x:c>
      <x:c r="J233" s="5" t="str">
        <x:f>IF(G233&gt;=70,"Excellent",IF(G233&gt;=60,"Very Good",IF(G233&gt;=50,"Good",IF(G233&gt;=40,"Fair","Needs Improvement"))))</x:f>
        <x:v>Needs Improvement</x:v>
      </x:c>
      <x:c r="K233" s="6" t="n"/>
      <x:c r="L233" s="6" t="n"/>
      <x:c r="M233" s="6" t="n"/>
      <x:c r="N233" s="6" t="n"/>
      <x:c r="O233" s="10" t="n"/>
      <x:c r="P233" s="10" t="n"/>
    </x:row>
    <x:row r="234">
      <x:c r="A234" s="7" t="n"/>
      <x:c r="B234" s="5" t="n"/>
      <x:c r="C234" s="5" t="inlineStr">
        <x:is>
          <x:t xml:space="preserve">Christian Religious Studies</x:t>
        </x:is>
      </x:c>
      <x:c r="D234" s="6" t="n">
        <x:v>2</x:v>
      </x:c>
      <x:c r="E234" s="6" t="n">
        <x:v>3</x:v>
      </x:c>
      <x:c r="F234" s="6" t="n">
        <x:v>23</x:v>
      </x:c>
      <x:c r="G234" s="6">
        <x:f>D234+E234+F234</x:f>
        <x:v>28</x:v>
      </x:c>
      <x:c r="H234" s="6">
        <x:f>1+SUMPRODUCT(($C$2:$C$271=C234)*($G$2:$G$271&gt;G234))</x:f>
        <x:v>30</x:v>
      </x:c>
      <x:c r="I234" s="7" t="str">
        <x:f>IF(G234&gt;=70,"A",IF(G234&gt;=60,"B",IF(G234&gt;=50,"C",IF(G234&gt;=40,"D","E"))))</x:f>
        <x:v>E</x:v>
      </x:c>
      <x:c r="J234" s="5" t="str">
        <x:f>IF(G234&gt;=70,"Excellent",IF(G234&gt;=60,"Very Good",IF(G234&gt;=50,"Good",IF(G234&gt;=40,"Fair","Needs Improvement"))))</x:f>
        <x:v>Needs Improvement</x:v>
      </x:c>
      <x:c r="K234" s="6" t="n"/>
      <x:c r="L234" s="6" t="n"/>
      <x:c r="M234" s="6" t="n"/>
      <x:c r="N234" s="6" t="n"/>
      <x:c r="O234" s="10" t="n"/>
      <x:c r="P234" s="10" t="n"/>
    </x:row>
    <x:row r="235">
      <x:c r="A235" s="7" t="n"/>
      <x:c r="B235" s="5" t="n"/>
      <x:c r="C235" s="5" t="inlineStr">
        <x:is>
          <x:t xml:space="preserve">History Studies</x:t>
        </x:is>
      </x:c>
      <x:c r="D235" s="6" t="n">
        <x:v>7</x:v>
      </x:c>
      <x:c r="E235" s="6" t="n">
        <x:v>13</x:v>
      </x:c>
      <x:c r="F235" s="6" t="n">
        <x:v>39</x:v>
      </x:c>
      <x:c r="G235" s="6">
        <x:f>D235+E235+F235</x:f>
        <x:v>59</x:v>
      </x:c>
      <x:c r="H235" s="6">
        <x:f>1+SUMPRODUCT(($C$2:$C$271=C235)*($G$2:$G$271&gt;G235))</x:f>
        <x:v>22</x:v>
      </x:c>
      <x:c r="I235" s="7" t="str">
        <x:f>IF(G235&gt;=70,"A",IF(G235&gt;=60,"B",IF(G235&gt;=50,"C",IF(G235&gt;=40,"D","E"))))</x:f>
        <x:v>C</x:v>
      </x:c>
      <x:c r="J235" s="5" t="str">
        <x:f>IF(G235&gt;=70,"Excellent",IF(G235&gt;=60,"Very Good",IF(G235&gt;=50,"Good",IF(G235&gt;=40,"Fair","Needs Improvement"))))</x:f>
        <x:v>Good</x:v>
      </x:c>
      <x:c r="K235" s="6" t="n"/>
      <x:c r="L235" s="6" t="n"/>
      <x:c r="M235" s="6" t="n"/>
      <x:c r="N235" s="6" t="n"/>
      <x:c r="O235" s="10" t="n"/>
      <x:c r="P235" s="10" t="n"/>
    </x:row>
    <x:row r="236">
      <x:c r="A236" s="3" t="n">
        <x:v>27</x:v>
      </x:c>
      <x:c r="B236" s="4" t="inlineStr">
        <x:is>
          <x:t xml:space="preserve">Andrew Garba</x:t>
        </x:is>
      </x:c>
      <x:c r="C236" s="5" t="inlineStr">
        <x:is>
          <x:t xml:space="preserve">Mathematics</x:t>
        </x:is>
      </x:c>
      <x:c r="D236" s="6" t="n">
        <x:v>4</x:v>
      </x:c>
      <x:c r="E236" s="6" t="n">
        <x:v>12</x:v>
      </x:c>
      <x:c r="F236" s="6" t="n">
        <x:v>37</x:v>
      </x:c>
      <x:c r="G236" s="6">
        <x:f>D236+E236+F236</x:f>
        <x:v>53</x:v>
      </x:c>
      <x:c r="H236" s="6">
        <x:f>1+SUMPRODUCT(($C$2:$C$271=C236)*($G$2:$G$271&gt;G236))</x:f>
        <x:v>23</x:v>
      </x:c>
      <x:c r="I236" s="7" t="str">
        <x:f>IF(G236&gt;=70,"A",IF(G236&gt;=60,"B",IF(G236&gt;=50,"C",IF(G236&gt;=40,"D","E"))))</x:f>
        <x:v>C</x:v>
      </x:c>
      <x:c r="J236" s="5" t="str">
        <x:f>IF(G236&gt;=70,"Excellent",IF(G236&gt;=60,"Very Good",IF(G236&gt;=50,"Good",IF(G236&gt;=40,"Fair","Needs Improvement"))))</x:f>
        <x:v>Good</x:v>
      </x:c>
      <x:c r="K236" s="8">
        <x:f>SUM(D236:D244)</x:f>
        <x:v>63</x:v>
      </x:c>
      <x:c r="L236" s="8">
        <x:f>SUM(E236:E244)</x:f>
        <x:v>127</x:v>
      </x:c>
      <x:c r="M236" s="8">
        <x:f>SUM(F236:F244)</x:f>
        <x:v>433</x:v>
      </x:c>
      <x:c r="N236" s="8">
        <x:f>SUM(G236:G244)</x:f>
        <x:v>623</x:v>
      </x:c>
      <x:c r="O236" s="9">
        <x:f>ROUND(AVERAGE(G236:G244),2)</x:f>
        <x:v>69.22</x:v>
      </x:c>
      <x:c r="P236" s="9">
        <x:f>ROUND(AVERAGE($G$2:$G$271),2)</x:f>
        <x:v>67.88</x:v>
      </x:c>
    </x:row>
    <x:row r="237">
      <x:c r="A237" s="7" t="n"/>
      <x:c r="B237" s="5" t="n"/>
      <x:c r="C237" s="5" t="inlineStr">
        <x:is>
          <x:t xml:space="preserve">English Studies</x:t>
        </x:is>
      </x:c>
      <x:c r="D237" s="6" t="n">
        <x:v>10</x:v>
      </x:c>
      <x:c r="E237" s="6" t="n">
        <x:v>18</x:v>
      </x:c>
      <x:c r="F237" s="6" t="n">
        <x:v>56</x:v>
      </x:c>
      <x:c r="G237" s="6">
        <x:f>D237+E237+F237</x:f>
        <x:v>84</x:v>
      </x:c>
      <x:c r="H237" s="6">
        <x:f>1+SUMPRODUCT(($C$2:$C$271=C237)*($G$2:$G$271&gt;G237))</x:f>
        <x:v>6</x:v>
      </x:c>
      <x:c r="I237" s="7" t="str">
        <x:f>IF(G237&gt;=70,"A",IF(G237&gt;=60,"B",IF(G237&gt;=50,"C",IF(G237&gt;=40,"D","E"))))</x:f>
        <x:v>A</x:v>
      </x:c>
      <x:c r="J237" s="5" t="str">
        <x:f>IF(G237&gt;=70,"Excellent",IF(G237&gt;=60,"Very Good",IF(G237&gt;=50,"Good",IF(G237&gt;=40,"Fair","Needs Improvement"))))</x:f>
        <x:v>Excellent</x:v>
      </x:c>
      <x:c r="K237" s="6" t="n"/>
      <x:c r="L237" s="6" t="n"/>
      <x:c r="M237" s="6" t="n"/>
      <x:c r="N237" s="6" t="n"/>
      <x:c r="O237" s="10" t="n"/>
      <x:c r="P237" s="10" t="n"/>
    </x:row>
    <x:row r="238">
      <x:c r="A238" s="7" t="n"/>
      <x:c r="B238" s="5" t="n"/>
      <x:c r="C238" s="5" t="inlineStr">
        <x:is>
          <x:t xml:space="preserve">Basic Science and Technology</x:t>
        </x:is>
      </x:c>
      <x:c r="D238" s="6" t="n">
        <x:v>5</x:v>
      </x:c>
      <x:c r="E238" s="6" t="n">
        <x:v>16</x:v>
      </x:c>
      <x:c r="F238" s="6" t="n">
        <x:v>39</x:v>
      </x:c>
      <x:c r="G238" s="6">
        <x:f>D238+E238+F238</x:f>
        <x:v>60</x:v>
      </x:c>
      <x:c r="H238" s="6">
        <x:f>1+SUMPRODUCT(($C$2:$C$271=C238)*($G$2:$G$271&gt;G238))</x:f>
        <x:v>22</x:v>
      </x:c>
      <x:c r="I238" s="7" t="str">
        <x:f>IF(G238&gt;=70,"A",IF(G238&gt;=60,"B",IF(G238&gt;=50,"C",IF(G238&gt;=40,"D","E"))))</x:f>
        <x:v>B</x:v>
      </x:c>
      <x:c r="J238" s="5" t="str">
        <x:f>IF(G238&gt;=70,"Excellent",IF(G238&gt;=60,"Very Good",IF(G238&gt;=50,"Good",IF(G238&gt;=40,"Fair","Needs Improvement"))))</x:f>
        <x:v>Very Good</x:v>
      </x:c>
      <x:c r="K238" s="6" t="n"/>
      <x:c r="L238" s="6" t="n"/>
      <x:c r="M238" s="6" t="n"/>
      <x:c r="N238" s="6" t="n"/>
      <x:c r="O238" s="10" t="n"/>
      <x:c r="P238" s="10" t="n"/>
    </x:row>
    <x:row r="239">
      <x:c r="A239" s="7" t="n"/>
      <x:c r="B239" s="5" t="n"/>
      <x:c r="C239" s="5" t="inlineStr">
        <x:is>
          <x:t xml:space="preserve">Pre-Vocational Studies</x:t>
        </x:is>
      </x:c>
      <x:c r="D239" s="6" t="n">
        <x:v>8</x:v>
      </x:c>
      <x:c r="E239" s="6" t="n">
        <x:v>11</x:v>
      </x:c>
      <x:c r="F239" s="6" t="n">
        <x:v>51</x:v>
      </x:c>
      <x:c r="G239" s="6">
        <x:f>D239+E239+F239</x:f>
        <x:v>70</x:v>
      </x:c>
      <x:c r="H239" s="6">
        <x:f>1+SUMPRODUCT(($C$2:$C$271=C239)*($G$2:$G$271&gt;G239))</x:f>
        <x:v>15</x:v>
      </x:c>
      <x:c r="I239" s="7" t="str">
        <x:f>IF(G239&gt;=70,"A",IF(G239&gt;=60,"B",IF(G239&gt;=50,"C",IF(G239&gt;=40,"D","E"))))</x:f>
        <x:v>A</x:v>
      </x:c>
      <x:c r="J239" s="5" t="str">
        <x:f>IF(G239&gt;=70,"Excellent",IF(G239&gt;=60,"Very Good",IF(G239&gt;=50,"Good",IF(G239&gt;=40,"Fair","Needs Improvement"))))</x:f>
        <x:v>Excellent</x:v>
      </x:c>
      <x:c r="K239" s="6" t="n"/>
      <x:c r="L239" s="6" t="n"/>
      <x:c r="M239" s="6" t="n"/>
      <x:c r="N239" s="6" t="n"/>
      <x:c r="O239" s="10" t="n"/>
      <x:c r="P239" s="10" t="n"/>
    </x:row>
    <x:row r="240">
      <x:c r="A240" s="7" t="n"/>
      <x:c r="B240" s="5" t="n"/>
      <x:c r="C240" s="5" t="inlineStr">
        <x:is>
          <x:t xml:space="preserve">National Value</x:t>
        </x:is>
      </x:c>
      <x:c r="D240" s="6" t="n">
        <x:v>10</x:v>
      </x:c>
      <x:c r="E240" s="6" t="n">
        <x:v>12</x:v>
      </x:c>
      <x:c r="F240" s="6" t="n">
        <x:v>52</x:v>
      </x:c>
      <x:c r="G240" s="6">
        <x:f>D240+E240+F240</x:f>
        <x:v>74</x:v>
      </x:c>
      <x:c r="H240" s="6">
        <x:f>1+SUMPRODUCT(($C$2:$C$271=C240)*($G$2:$G$271&gt;G240))</x:f>
        <x:v>13</x:v>
      </x:c>
      <x:c r="I240" s="7" t="str">
        <x:f>IF(G240&gt;=70,"A",IF(G240&gt;=60,"B",IF(G240&gt;=50,"C",IF(G240&gt;=40,"D","E"))))</x:f>
        <x:v>A</x:v>
      </x:c>
      <x:c r="J240" s="5" t="str">
        <x:f>IF(G240&gt;=70,"Excellent",IF(G240&gt;=60,"Very Good",IF(G240&gt;=50,"Good",IF(G240&gt;=40,"Fair","Needs Improvement"))))</x:f>
        <x:v>Excellent</x:v>
      </x:c>
      <x:c r="K240" s="6" t="n"/>
      <x:c r="L240" s="6" t="n"/>
      <x:c r="M240" s="6" t="n"/>
      <x:c r="N240" s="6" t="n"/>
      <x:c r="O240" s="10" t="n"/>
      <x:c r="P240" s="10" t="n"/>
    </x:row>
    <x:row r="241">
      <x:c r="A241" s="7" t="n"/>
      <x:c r="B241" s="5" t="n"/>
      <x:c r="C241" s="5" t="inlineStr">
        <x:is>
          <x:t xml:space="preserve">Business Studies</x:t>
        </x:is>
      </x:c>
      <x:c r="D241" s="6" t="n">
        <x:v>4</x:v>
      </x:c>
      <x:c r="E241" s="6" t="n">
        <x:v>8</x:v>
      </x:c>
      <x:c r="F241" s="6" t="n">
        <x:v>42</x:v>
      </x:c>
      <x:c r="G241" s="6">
        <x:f>D241+E241+F241</x:f>
        <x:v>54</x:v>
      </x:c>
      <x:c r="H241" s="6">
        <x:f>1+SUMPRODUCT(($C$2:$C$271=C241)*($G$2:$G$271&gt;G241))</x:f>
        <x:v>26</x:v>
      </x:c>
      <x:c r="I241" s="7" t="str">
        <x:f>IF(G241&gt;=70,"A",IF(G241&gt;=60,"B",IF(G241&gt;=50,"C",IF(G241&gt;=40,"D","E"))))</x:f>
        <x:v>C</x:v>
      </x:c>
      <x:c r="J241" s="5" t="str">
        <x:f>IF(G241&gt;=70,"Excellent",IF(G241&gt;=60,"Very Good",IF(G241&gt;=50,"Good",IF(G241&gt;=40,"Fair","Needs Improvement"))))</x:f>
        <x:v>Good</x:v>
      </x:c>
      <x:c r="K241" s="6" t="n"/>
      <x:c r="L241" s="6" t="n"/>
      <x:c r="M241" s="6" t="n"/>
      <x:c r="N241" s="6" t="n"/>
      <x:c r="O241" s="10" t="n"/>
      <x:c r="P241" s="10" t="n"/>
    </x:row>
    <x:row r="242">
      <x:c r="A242" s="7" t="n"/>
      <x:c r="B242" s="5" t="n"/>
      <x:c r="C242" s="5" t="inlineStr">
        <x:is>
          <x:t xml:space="preserve">Creative and Cultural Art</x:t>
        </x:is>
      </x:c>
      <x:c r="D242" s="6" t="n">
        <x:v>8</x:v>
      </x:c>
      <x:c r="E242" s="6" t="n">
        <x:v>17</x:v>
      </x:c>
      <x:c r="F242" s="6" t="n">
        <x:v>46</x:v>
      </x:c>
      <x:c r="G242" s="6">
        <x:f>D242+E242+F242</x:f>
        <x:v>71</x:v>
      </x:c>
      <x:c r="H242" s="6">
        <x:f>1+SUMPRODUCT(($C$2:$C$271=C242)*($G$2:$G$271&gt;G242))</x:f>
        <x:v>14</x:v>
      </x:c>
      <x:c r="I242" s="7" t="str">
        <x:f>IF(G242&gt;=70,"A",IF(G242&gt;=60,"B",IF(G242&gt;=50,"C",IF(G242&gt;=40,"D","E"))))</x:f>
        <x:v>A</x:v>
      </x:c>
      <x:c r="J242" s="5" t="str">
        <x:f>IF(G242&gt;=70,"Excellent",IF(G242&gt;=60,"Very Good",IF(G242&gt;=50,"Good",IF(G242&gt;=40,"Fair","Needs Improvement"))))</x:f>
        <x:v>Excellent</x:v>
      </x:c>
      <x:c r="K242" s="6" t="n"/>
      <x:c r="L242" s="6" t="n"/>
      <x:c r="M242" s="6" t="n"/>
      <x:c r="N242" s="6" t="n"/>
      <x:c r="O242" s="10" t="n"/>
      <x:c r="P242" s="10" t="n"/>
    </x:row>
    <x:row r="243">
      <x:c r="A243" s="7" t="n"/>
      <x:c r="B243" s="5" t="n"/>
      <x:c r="C243" s="5" t="inlineStr">
        <x:is>
          <x:t xml:space="preserve">Christian Religious Studies</x:t>
        </x:is>
      </x:c>
      <x:c r="D243" s="6" t="n">
        <x:v>4</x:v>
      </x:c>
      <x:c r="E243" s="6" t="n">
        <x:v>16</x:v>
      </x:c>
      <x:c r="F243" s="6" t="n">
        <x:v>54</x:v>
      </x:c>
      <x:c r="G243" s="6">
        <x:f>D243+E243+F243</x:f>
        <x:v>74</x:v>
      </x:c>
      <x:c r="H243" s="6">
        <x:f>1+SUMPRODUCT(($C$2:$C$271=C243)*($G$2:$G$271&gt;G243))</x:f>
        <x:v>16</x:v>
      </x:c>
      <x:c r="I243" s="7" t="str">
        <x:f>IF(G243&gt;=70,"A",IF(G243&gt;=60,"B",IF(G243&gt;=50,"C",IF(G243&gt;=40,"D","E"))))</x:f>
        <x:v>A</x:v>
      </x:c>
      <x:c r="J243" s="5" t="str">
        <x:f>IF(G243&gt;=70,"Excellent",IF(G243&gt;=60,"Very Good",IF(G243&gt;=50,"Good",IF(G243&gt;=40,"Fair","Needs Improvement"))))</x:f>
        <x:v>Excellent</x:v>
      </x:c>
      <x:c r="K243" s="6" t="n"/>
      <x:c r="L243" s="6" t="n"/>
      <x:c r="M243" s="6" t="n"/>
      <x:c r="N243" s="6" t="n"/>
      <x:c r="O243" s="10" t="n"/>
      <x:c r="P243" s="10" t="n"/>
    </x:row>
    <x:row r="244">
      <x:c r="A244" s="7" t="n"/>
      <x:c r="B244" s="5" t="n"/>
      <x:c r="C244" s="5" t="inlineStr">
        <x:is>
          <x:t xml:space="preserve">History Studies</x:t>
        </x:is>
      </x:c>
      <x:c r="D244" s="6" t="n">
        <x:v>10</x:v>
      </x:c>
      <x:c r="E244" s="6" t="n">
        <x:v>17</x:v>
      </x:c>
      <x:c r="F244" s="6" t="n">
        <x:v>56</x:v>
      </x:c>
      <x:c r="G244" s="6">
        <x:f>D244+E244+F244</x:f>
        <x:v>83</x:v>
      </x:c>
      <x:c r="H244" s="6">
        <x:f>1+SUMPRODUCT(($C$2:$C$271=C244)*($G$2:$G$271&gt;G244))</x:f>
        <x:v>6</x:v>
      </x:c>
      <x:c r="I244" s="7" t="str">
        <x:f>IF(G244&gt;=70,"A",IF(G244&gt;=60,"B",IF(G244&gt;=50,"C",IF(G244&gt;=40,"D","E"))))</x:f>
        <x:v>A</x:v>
      </x:c>
      <x:c r="J244" s="5" t="str">
        <x:f>IF(G244&gt;=70,"Excellent",IF(G244&gt;=60,"Very Good",IF(G244&gt;=50,"Good",IF(G244&gt;=40,"Fair","Needs Improvement"))))</x:f>
        <x:v>Excellent</x:v>
      </x:c>
      <x:c r="K244" s="6" t="n"/>
      <x:c r="L244" s="6" t="n"/>
      <x:c r="M244" s="6" t="n"/>
      <x:c r="N244" s="6" t="n"/>
      <x:c r="O244" s="10" t="n"/>
      <x:c r="P244" s="10" t="n"/>
    </x:row>
    <x:row r="245">
      <x:c r="A245" s="3" t="n">
        <x:v>28</x:v>
      </x:c>
      <x:c r="B245" s="4" t="inlineStr">
        <x:is>
          <x:t xml:space="preserve">Lydia Salihu</x:t>
        </x:is>
      </x:c>
      <x:c r="C245" s="5" t="inlineStr">
        <x:is>
          <x:t xml:space="preserve">Mathematics</x:t>
        </x:is>
      </x:c>
      <x:c r="D245" s="6" t="n">
        <x:v>6</x:v>
      </x:c>
      <x:c r="E245" s="6" t="n">
        <x:v>7</x:v>
      </x:c>
      <x:c r="F245" s="6" t="n">
        <x:v>47</x:v>
      </x:c>
      <x:c r="G245" s="6">
        <x:f>D245+E245+F245</x:f>
        <x:v>60</x:v>
      </x:c>
      <x:c r="H245" s="6">
        <x:f>1+SUMPRODUCT(($C$2:$C$271=C245)*($G$2:$G$271&gt;G245))</x:f>
        <x:v>15</x:v>
      </x:c>
      <x:c r="I245" s="7" t="str">
        <x:f>IF(G245&gt;=70,"A",IF(G245&gt;=60,"B",IF(G245&gt;=50,"C",IF(G245&gt;=40,"D","E"))))</x:f>
        <x:v>B</x:v>
      </x:c>
      <x:c r="J245" s="5" t="str">
        <x:f>IF(G245&gt;=70,"Excellent",IF(G245&gt;=60,"Very Good",IF(G245&gt;=50,"Good",IF(G245&gt;=40,"Fair","Needs Improvement"))))</x:f>
        <x:v>Very Good</x:v>
      </x:c>
      <x:c r="K245" s="8">
        <x:f>SUM(D245:D253)</x:f>
        <x:v>53</x:v>
      </x:c>
      <x:c r="L245" s="8">
        <x:f>SUM(E245:E253)</x:f>
        <x:v>102</x:v>
      </x:c>
      <x:c r="M245" s="8">
        <x:f>SUM(F245:F253)</x:f>
        <x:v>367</x:v>
      </x:c>
      <x:c r="N245" s="8">
        <x:f>SUM(G245:G253)</x:f>
        <x:v>522</x:v>
      </x:c>
      <x:c r="O245" s="9">
        <x:f>ROUND(AVERAGE(G245:G253),2)</x:f>
        <x:v>58</x:v>
      </x:c>
      <x:c r="P245" s="9">
        <x:f>ROUND(AVERAGE($G$2:$G$271),2)</x:f>
        <x:v>67.88</x:v>
      </x:c>
    </x:row>
    <x:row r="246">
      <x:c r="A246" s="7" t="n"/>
      <x:c r="B246" s="5" t="n"/>
      <x:c r="C246" s="5" t="inlineStr">
        <x:is>
          <x:t xml:space="preserve">English Studies</x:t>
        </x:is>
      </x:c>
      <x:c r="D246" s="6" t="n">
        <x:v>6</x:v>
      </x:c>
      <x:c r="E246" s="6" t="n">
        <x:v>12</x:v>
      </x:c>
      <x:c r="F246" s="6" t="n">
        <x:v>36</x:v>
      </x:c>
      <x:c r="G246" s="6">
        <x:f>D246+E246+F246</x:f>
        <x:v>54</x:v>
      </x:c>
      <x:c r="H246" s="6">
        <x:f>1+SUMPRODUCT(($C$2:$C$271=C246)*($G$2:$G$271&gt;G246))</x:f>
        <x:v>24</x:v>
      </x:c>
      <x:c r="I246" s="7" t="str">
        <x:f>IF(G246&gt;=70,"A",IF(G246&gt;=60,"B",IF(G246&gt;=50,"C",IF(G246&gt;=40,"D","E"))))</x:f>
        <x:v>C</x:v>
      </x:c>
      <x:c r="J246" s="5" t="str">
        <x:f>IF(G246&gt;=70,"Excellent",IF(G246&gt;=60,"Very Good",IF(G246&gt;=50,"Good",IF(G246&gt;=40,"Fair","Needs Improvement"))))</x:f>
        <x:v>Good</x:v>
      </x:c>
      <x:c r="K246" s="6" t="n"/>
      <x:c r="L246" s="6" t="n"/>
      <x:c r="M246" s="6" t="n"/>
      <x:c r="N246" s="6" t="n"/>
      <x:c r="O246" s="10" t="n"/>
      <x:c r="P246" s="10" t="n"/>
    </x:row>
    <x:row r="247">
      <x:c r="A247" s="7" t="n"/>
      <x:c r="B247" s="5" t="n"/>
      <x:c r="C247" s="5" t="inlineStr">
        <x:is>
          <x:t xml:space="preserve">Basic Science and Technology</x:t>
        </x:is>
      </x:c>
      <x:c r="D247" s="6" t="n">
        <x:v>3</x:v>
      </x:c>
      <x:c r="E247" s="6" t="n">
        <x:v>8</x:v>
      </x:c>
      <x:c r="F247" s="6" t="n">
        <x:v>43</x:v>
      </x:c>
      <x:c r="G247" s="6">
        <x:f>D247+E247+F247</x:f>
        <x:v>54</x:v>
      </x:c>
      <x:c r="H247" s="6">
        <x:f>1+SUMPRODUCT(($C$2:$C$271=C247)*($G$2:$G$271&gt;G247))</x:f>
        <x:v>24</x:v>
      </x:c>
      <x:c r="I247" s="7" t="str">
        <x:f>IF(G247&gt;=70,"A",IF(G247&gt;=60,"B",IF(G247&gt;=50,"C",IF(G247&gt;=40,"D","E"))))</x:f>
        <x:v>C</x:v>
      </x:c>
      <x:c r="J247" s="5" t="str">
        <x:f>IF(G247&gt;=70,"Excellent",IF(G247&gt;=60,"Very Good",IF(G247&gt;=50,"Good",IF(G247&gt;=40,"Fair","Needs Improvement"))))</x:f>
        <x:v>Good</x:v>
      </x:c>
      <x:c r="K247" s="6" t="n"/>
      <x:c r="L247" s="6" t="n"/>
      <x:c r="M247" s="6" t="n"/>
      <x:c r="N247" s="6" t="n"/>
      <x:c r="O247" s="10" t="n"/>
      <x:c r="P247" s="10" t="n"/>
    </x:row>
    <x:row r="248">
      <x:c r="A248" s="7" t="n"/>
      <x:c r="B248" s="5" t="n"/>
      <x:c r="C248" s="5" t="inlineStr">
        <x:is>
          <x:t xml:space="preserve">Pre-Vocational Studies</x:t>
        </x:is>
      </x:c>
      <x:c r="D248" s="6" t="n">
        <x:v>8</x:v>
      </x:c>
      <x:c r="E248" s="6" t="n">
        <x:v>15</x:v>
      </x:c>
      <x:c r="F248" s="6" t="n">
        <x:v>28</x:v>
      </x:c>
      <x:c r="G248" s="6">
        <x:f>D248+E248+F248</x:f>
        <x:v>51</x:v>
      </x:c>
      <x:c r="H248" s="6">
        <x:f>1+SUMPRODUCT(($C$2:$C$271=C248)*($G$2:$G$271&gt;G248))</x:f>
        <x:v>26</x:v>
      </x:c>
      <x:c r="I248" s="7" t="str">
        <x:f>IF(G248&gt;=70,"A",IF(G248&gt;=60,"B",IF(G248&gt;=50,"C",IF(G248&gt;=40,"D","E"))))</x:f>
        <x:v>C</x:v>
      </x:c>
      <x:c r="J248" s="5" t="str">
        <x:f>IF(G248&gt;=70,"Excellent",IF(G248&gt;=60,"Very Good",IF(G248&gt;=50,"Good",IF(G248&gt;=40,"Fair","Needs Improvement"))))</x:f>
        <x:v>Good</x:v>
      </x:c>
      <x:c r="K248" s="6" t="n"/>
      <x:c r="L248" s="6" t="n"/>
      <x:c r="M248" s="6" t="n"/>
      <x:c r="N248" s="6" t="n"/>
      <x:c r="O248" s="10" t="n"/>
      <x:c r="P248" s="10" t="n"/>
    </x:row>
    <x:row r="249">
      <x:c r="A249" s="7" t="n"/>
      <x:c r="B249" s="5" t="n"/>
      <x:c r="C249" s="5" t="inlineStr">
        <x:is>
          <x:t xml:space="preserve">National Value</x:t>
        </x:is>
      </x:c>
      <x:c r="D249" s="6" t="n">
        <x:v>8</x:v>
      </x:c>
      <x:c r="E249" s="6" t="n">
        <x:v>8</x:v>
      </x:c>
      <x:c r="F249" s="6" t="n">
        <x:v>31</x:v>
      </x:c>
      <x:c r="G249" s="6">
        <x:f>D249+E249+F249</x:f>
        <x:v>47</x:v>
      </x:c>
      <x:c r="H249" s="6">
        <x:f>1+SUMPRODUCT(($C$2:$C$271=C249)*($G$2:$G$271&gt;G249))</x:f>
        <x:v>27</x:v>
      </x:c>
      <x:c r="I249" s="7" t="str">
        <x:f>IF(G249&gt;=70,"A",IF(G249&gt;=60,"B",IF(G249&gt;=50,"C",IF(G249&gt;=40,"D","E"))))</x:f>
        <x:v>D</x:v>
      </x:c>
      <x:c r="J249" s="5" t="str">
        <x:f>IF(G249&gt;=70,"Excellent",IF(G249&gt;=60,"Very Good",IF(G249&gt;=50,"Good",IF(G249&gt;=40,"Fair","Needs Improvement"))))</x:f>
        <x:v>Fair</x:v>
      </x:c>
      <x:c r="K249" s="6" t="n"/>
      <x:c r="L249" s="6" t="n"/>
      <x:c r="M249" s="6" t="n"/>
      <x:c r="N249" s="6" t="n"/>
      <x:c r="O249" s="10" t="n"/>
      <x:c r="P249" s="10" t="n"/>
    </x:row>
    <x:row r="250">
      <x:c r="A250" s="7" t="n"/>
      <x:c r="B250" s="5" t="n"/>
      <x:c r="C250" s="5" t="inlineStr">
        <x:is>
          <x:t xml:space="preserve">Business Studies</x:t>
        </x:is>
      </x:c>
      <x:c r="D250" s="6" t="n">
        <x:v>8</x:v>
      </x:c>
      <x:c r="E250" s="6" t="n">
        <x:v>14</x:v>
      </x:c>
      <x:c r="F250" s="6" t="n">
        <x:v>49</x:v>
      </x:c>
      <x:c r="G250" s="6">
        <x:f>D250+E250+F250</x:f>
        <x:v>71</x:v>
      </x:c>
      <x:c r="H250" s="6">
        <x:f>1+SUMPRODUCT(($C$2:$C$271=C250)*($G$2:$G$271&gt;G250))</x:f>
        <x:v>15</x:v>
      </x:c>
      <x:c r="I250" s="7" t="str">
        <x:f>IF(G250&gt;=70,"A",IF(G250&gt;=60,"B",IF(G250&gt;=50,"C",IF(G250&gt;=40,"D","E"))))</x:f>
        <x:v>A</x:v>
      </x:c>
      <x:c r="J250" s="5" t="str">
        <x:f>IF(G250&gt;=70,"Excellent",IF(G250&gt;=60,"Very Good",IF(G250&gt;=50,"Good",IF(G250&gt;=40,"Fair","Needs Improvement"))))</x:f>
        <x:v>Excellent</x:v>
      </x:c>
      <x:c r="K250" s="6" t="n"/>
      <x:c r="L250" s="6" t="n"/>
      <x:c r="M250" s="6" t="n"/>
      <x:c r="N250" s="6" t="n"/>
      <x:c r="O250" s="10" t="n"/>
      <x:c r="P250" s="10" t="n"/>
    </x:row>
    <x:row r="251">
      <x:c r="A251" s="7" t="n"/>
      <x:c r="B251" s="5" t="n"/>
      <x:c r="C251" s="5" t="inlineStr">
        <x:is>
          <x:t xml:space="preserve">Creative and Cultural Art</x:t>
        </x:is>
      </x:c>
      <x:c r="D251" s="6" t="n">
        <x:v>6</x:v>
      </x:c>
      <x:c r="E251" s="6" t="n">
        <x:v>12</x:v>
      </x:c>
      <x:c r="F251" s="6" t="n">
        <x:v>36</x:v>
      </x:c>
      <x:c r="G251" s="6">
        <x:f>D251+E251+F251</x:f>
        <x:v>54</x:v>
      </x:c>
      <x:c r="H251" s="6">
        <x:f>1+SUMPRODUCT(($C$2:$C$271=C251)*($G$2:$G$271&gt;G251))</x:f>
        <x:v>25</x:v>
      </x:c>
      <x:c r="I251" s="7" t="str">
        <x:f>IF(G251&gt;=70,"A",IF(G251&gt;=60,"B",IF(G251&gt;=50,"C",IF(G251&gt;=40,"D","E"))))</x:f>
        <x:v>C</x:v>
      </x:c>
      <x:c r="J251" s="5" t="str">
        <x:f>IF(G251&gt;=70,"Excellent",IF(G251&gt;=60,"Very Good",IF(G251&gt;=50,"Good",IF(G251&gt;=40,"Fair","Needs Improvement"))))</x:f>
        <x:v>Good</x:v>
      </x:c>
      <x:c r="K251" s="6" t="n"/>
      <x:c r="L251" s="6" t="n"/>
      <x:c r="M251" s="6" t="n"/>
      <x:c r="N251" s="6" t="n"/>
      <x:c r="O251" s="10" t="n"/>
      <x:c r="P251" s="10" t="n"/>
    </x:row>
    <x:row r="252">
      <x:c r="A252" s="7" t="n"/>
      <x:c r="B252" s="5" t="n"/>
      <x:c r="C252" s="5" t="inlineStr">
        <x:is>
          <x:t xml:space="preserve">Christian Religious Studies</x:t>
        </x:is>
      </x:c>
      <x:c r="D252" s="6" t="n">
        <x:v>4</x:v>
      </x:c>
      <x:c r="E252" s="6" t="n">
        <x:v>15</x:v>
      </x:c>
      <x:c r="F252" s="6" t="n">
        <x:v>53</x:v>
      </x:c>
      <x:c r="G252" s="6">
        <x:f>D252+E252+F252</x:f>
        <x:v>72</x:v>
      </x:c>
      <x:c r="H252" s="6">
        <x:f>1+SUMPRODUCT(($C$2:$C$271=C252)*($G$2:$G$271&gt;G252))</x:f>
        <x:v>17</x:v>
      </x:c>
      <x:c r="I252" s="7" t="str">
        <x:f>IF(G252&gt;=70,"A",IF(G252&gt;=60,"B",IF(G252&gt;=50,"C",IF(G252&gt;=40,"D","E"))))</x:f>
        <x:v>A</x:v>
      </x:c>
      <x:c r="J252" s="5" t="str">
        <x:f>IF(G252&gt;=70,"Excellent",IF(G252&gt;=60,"Very Good",IF(G252&gt;=50,"Good",IF(G252&gt;=40,"Fair","Needs Improvement"))))</x:f>
        <x:v>Excellent</x:v>
      </x:c>
      <x:c r="K252" s="6" t="n"/>
      <x:c r="L252" s="6" t="n"/>
      <x:c r="M252" s="6" t="n"/>
      <x:c r="N252" s="6" t="n"/>
      <x:c r="O252" s="10" t="n"/>
      <x:c r="P252" s="10" t="n"/>
    </x:row>
    <x:row r="253">
      <x:c r="A253" s="7" t="n"/>
      <x:c r="B253" s="5" t="n"/>
      <x:c r="C253" s="5" t="inlineStr">
        <x:is>
          <x:t xml:space="preserve">History Studies</x:t>
        </x:is>
      </x:c>
      <x:c r="D253" s="6" t="n">
        <x:v>4</x:v>
      </x:c>
      <x:c r="E253" s="6" t="n">
        <x:v>11</x:v>
      </x:c>
      <x:c r="F253" s="6" t="n">
        <x:v>44</x:v>
      </x:c>
      <x:c r="G253" s="6">
        <x:f>D253+E253+F253</x:f>
        <x:v>59</x:v>
      </x:c>
      <x:c r="H253" s="6">
        <x:f>1+SUMPRODUCT(($C$2:$C$271=C253)*($G$2:$G$271&gt;G253))</x:f>
        <x:v>22</x:v>
      </x:c>
      <x:c r="I253" s="7" t="str">
        <x:f>IF(G253&gt;=70,"A",IF(G253&gt;=60,"B",IF(G253&gt;=50,"C",IF(G253&gt;=40,"D","E"))))</x:f>
        <x:v>C</x:v>
      </x:c>
      <x:c r="J253" s="5" t="str">
        <x:f>IF(G253&gt;=70,"Excellent",IF(G253&gt;=60,"Very Good",IF(G253&gt;=50,"Good",IF(G253&gt;=40,"Fair","Needs Improvement"))))</x:f>
        <x:v>Good</x:v>
      </x:c>
      <x:c r="K253" s="6" t="n"/>
      <x:c r="L253" s="6" t="n"/>
      <x:c r="M253" s="6" t="n"/>
      <x:c r="N253" s="6" t="n"/>
      <x:c r="O253" s="10" t="n"/>
      <x:c r="P253" s="10" t="n"/>
    </x:row>
    <x:row r="254">
      <x:c r="A254" s="3" t="n">
        <x:v>29</x:v>
      </x:c>
      <x:c r="B254" s="4" t="inlineStr">
        <x:is>
          <x:t xml:space="preserve">Philip Mohammed</x:t>
        </x:is>
      </x:c>
      <x:c r="C254" s="5" t="inlineStr">
        <x:is>
          <x:t xml:space="preserve">Mathematics</x:t>
        </x:is>
      </x:c>
      <x:c r="D254" s="6" t="n">
        <x:v>6</x:v>
      </x:c>
      <x:c r="E254" s="6" t="n">
        <x:v>15</x:v>
      </x:c>
      <x:c r="F254" s="6" t="n">
        <x:v>45</x:v>
      </x:c>
      <x:c r="G254" s="6">
        <x:f>D254+E254+F254</x:f>
        <x:v>66</x:v>
      </x:c>
      <x:c r="H254" s="6">
        <x:f>1+SUMPRODUCT(($C$2:$C$271=C254)*($G$2:$G$271&gt;G254))</x:f>
        <x:v>13</x:v>
      </x:c>
      <x:c r="I254" s="7" t="str">
        <x:f>IF(G254&gt;=70,"A",IF(G254&gt;=60,"B",IF(G254&gt;=50,"C",IF(G254&gt;=40,"D","E"))))</x:f>
        <x:v>B</x:v>
      </x:c>
      <x:c r="J254" s="5" t="str">
        <x:f>IF(G254&gt;=70,"Excellent",IF(G254&gt;=60,"Very Good",IF(G254&gt;=50,"Good",IF(G254&gt;=40,"Fair","Needs Improvement"))))</x:f>
        <x:v>Very Good</x:v>
      </x:c>
      <x:c r="K254" s="8">
        <x:f>SUM(D254:D262)</x:f>
        <x:v>70</x:v>
      </x:c>
      <x:c r="L254" s="8">
        <x:f>SUM(E254:E262)</x:f>
        <x:v>146</x:v>
      </x:c>
      <x:c r="M254" s="8">
        <x:f>SUM(F254:F262)</x:f>
        <x:v>534</x:v>
      </x:c>
      <x:c r="N254" s="8">
        <x:f>SUM(G254:G262)</x:f>
        <x:v>750</x:v>
      </x:c>
      <x:c r="O254" s="9">
        <x:f>ROUND(AVERAGE(G254:G262),2)</x:f>
        <x:v>83.33</x:v>
      </x:c>
      <x:c r="P254" s="9">
        <x:f>ROUND(AVERAGE($G$2:$G$271),2)</x:f>
        <x:v>67.88</x:v>
      </x:c>
    </x:row>
    <x:row r="255">
      <x:c r="A255" s="7" t="n"/>
      <x:c r="B255" s="5" t="n"/>
      <x:c r="C255" s="5" t="inlineStr">
        <x:is>
          <x:t xml:space="preserve">English Studies</x:t>
        </x:is>
      </x:c>
      <x:c r="D255" s="6" t="n">
        <x:v>8</x:v>
      </x:c>
      <x:c r="E255" s="6" t="n">
        <x:v>20</x:v>
      </x:c>
      <x:c r="F255" s="6" t="n">
        <x:v>70</x:v>
      </x:c>
      <x:c r="G255" s="6">
        <x:f>D255+E255+F255</x:f>
        <x:v>98</x:v>
      </x:c>
      <x:c r="H255" s="6">
        <x:f>1+SUMPRODUCT(($C$2:$C$271=C255)*($G$2:$G$271&gt;G255))</x:f>
        <x:v>1</x:v>
      </x:c>
      <x:c r="I255" s="7" t="str">
        <x:f>IF(G255&gt;=70,"A",IF(G255&gt;=60,"B",IF(G255&gt;=50,"C",IF(G255&gt;=40,"D","E"))))</x:f>
        <x:v>A</x:v>
      </x:c>
      <x:c r="J255" s="5" t="str">
        <x:f>IF(G255&gt;=70,"Excellent",IF(G255&gt;=60,"Very Good",IF(G255&gt;=50,"Good",IF(G255&gt;=40,"Fair","Needs Improvement"))))</x:f>
        <x:v>Excellent</x:v>
      </x:c>
      <x:c r="K255" s="6" t="n"/>
      <x:c r="L255" s="6" t="n"/>
      <x:c r="M255" s="6" t="n"/>
      <x:c r="N255" s="6" t="n"/>
      <x:c r="O255" s="10" t="n"/>
      <x:c r="P255" s="10" t="n"/>
    </x:row>
    <x:row r="256">
      <x:c r="A256" s="7" t="n"/>
      <x:c r="B256" s="5" t="n"/>
      <x:c r="C256" s="5" t="inlineStr">
        <x:is>
          <x:t xml:space="preserve">Basic Science and Technology</x:t>
        </x:is>
      </x:c>
      <x:c r="D256" s="6" t="n">
        <x:v>8</x:v>
      </x:c>
      <x:c r="E256" s="6" t="n">
        <x:v>12</x:v>
      </x:c>
      <x:c r="F256" s="6" t="n">
        <x:v>48</x:v>
      </x:c>
      <x:c r="G256" s="6">
        <x:f>D256+E256+F256</x:f>
        <x:v>68</x:v>
      </x:c>
      <x:c r="H256" s="6">
        <x:f>1+SUMPRODUCT(($C$2:$C$271=C256)*($G$2:$G$271&gt;G256))</x:f>
        <x:v>15</x:v>
      </x:c>
      <x:c r="I256" s="7" t="str">
        <x:f>IF(G256&gt;=70,"A",IF(G256&gt;=60,"B",IF(G256&gt;=50,"C",IF(G256&gt;=40,"D","E"))))</x:f>
        <x:v>B</x:v>
      </x:c>
      <x:c r="J256" s="5" t="str">
        <x:f>IF(G256&gt;=70,"Excellent",IF(G256&gt;=60,"Very Good",IF(G256&gt;=50,"Good",IF(G256&gt;=40,"Fair","Needs Improvement"))))</x:f>
        <x:v>Very Good</x:v>
      </x:c>
      <x:c r="K256" s="6" t="n"/>
      <x:c r="L256" s="6" t="n"/>
      <x:c r="M256" s="6" t="n"/>
      <x:c r="N256" s="6" t="n"/>
      <x:c r="O256" s="10" t="n"/>
      <x:c r="P256" s="10" t="n"/>
    </x:row>
    <x:row r="257">
      <x:c r="A257" s="7" t="n"/>
      <x:c r="B257" s="5" t="n"/>
      <x:c r="C257" s="5" t="inlineStr">
        <x:is>
          <x:t xml:space="preserve">Pre-Vocational Studies</x:t>
        </x:is>
      </x:c>
      <x:c r="D257" s="6" t="n">
        <x:v>7</x:v>
      </x:c>
      <x:c r="E257" s="6" t="n">
        <x:v>12</x:v>
      </x:c>
      <x:c r="F257" s="6" t="n">
        <x:v>56</x:v>
      </x:c>
      <x:c r="G257" s="6">
        <x:f>D257+E257+F257</x:f>
        <x:v>75</x:v>
      </x:c>
      <x:c r="H257" s="6">
        <x:f>1+SUMPRODUCT(($C$2:$C$271=C257)*($G$2:$G$271&gt;G257))</x:f>
        <x:v>8</x:v>
      </x:c>
      <x:c r="I257" s="7" t="str">
        <x:f>IF(G257&gt;=70,"A",IF(G257&gt;=60,"B",IF(G257&gt;=50,"C",IF(G257&gt;=40,"D","E"))))</x:f>
        <x:v>A</x:v>
      </x:c>
      <x:c r="J257" s="5" t="str">
        <x:f>IF(G257&gt;=70,"Excellent",IF(G257&gt;=60,"Very Good",IF(G257&gt;=50,"Good",IF(G257&gt;=40,"Fair","Needs Improvement"))))</x:f>
        <x:v>Excellent</x:v>
      </x:c>
      <x:c r="K257" s="6" t="n"/>
      <x:c r="L257" s="6" t="n"/>
      <x:c r="M257" s="6" t="n"/>
      <x:c r="N257" s="6" t="n"/>
      <x:c r="O257" s="10" t="n"/>
      <x:c r="P257" s="10" t="n"/>
    </x:row>
    <x:row r="258">
      <x:c r="A258" s="7" t="n"/>
      <x:c r="B258" s="5" t="n"/>
      <x:c r="C258" s="5" t="inlineStr">
        <x:is>
          <x:t xml:space="preserve">National Value</x:t>
        </x:is>
      </x:c>
      <x:c r="D258" s="6" t="n">
        <x:v>10</x:v>
      </x:c>
      <x:c r="E258" s="6" t="n">
        <x:v>20</x:v>
      </x:c>
      <x:c r="F258" s="6" t="n">
        <x:v>70</x:v>
      </x:c>
      <x:c r="G258" s="6">
        <x:f>D258+E258+F258</x:f>
        <x:v>100</x:v>
      </x:c>
      <x:c r="H258" s="6">
        <x:f>1+SUMPRODUCT(($C$2:$C$271=C258)*($G$2:$G$271&gt;G258))</x:f>
        <x:v>1</x:v>
      </x:c>
      <x:c r="I258" s="7" t="str">
        <x:f>IF(G258&gt;=70,"A",IF(G258&gt;=60,"B",IF(G258&gt;=50,"C",IF(G258&gt;=40,"D","E"))))</x:f>
        <x:v>A</x:v>
      </x:c>
      <x:c r="J258" s="5" t="str">
        <x:f>IF(G258&gt;=70,"Excellent",IF(G258&gt;=60,"Very Good",IF(G258&gt;=50,"Good",IF(G258&gt;=40,"Fair","Needs Improvement"))))</x:f>
        <x:v>Excellent</x:v>
      </x:c>
      <x:c r="K258" s="6" t="n"/>
      <x:c r="L258" s="6" t="n"/>
      <x:c r="M258" s="6" t="n"/>
      <x:c r="N258" s="6" t="n"/>
      <x:c r="O258" s="10" t="n"/>
      <x:c r="P258" s="10" t="n"/>
    </x:row>
    <x:row r="259">
      <x:c r="A259" s="7" t="n"/>
      <x:c r="B259" s="5" t="n"/>
      <x:c r="C259" s="5" t="inlineStr">
        <x:is>
          <x:t xml:space="preserve">Business Studies</x:t>
        </x:is>
      </x:c>
      <x:c r="D259" s="6" t="n">
        <x:v>7</x:v>
      </x:c>
      <x:c r="E259" s="6" t="n">
        <x:v>9</x:v>
      </x:c>
      <x:c r="F259" s="6" t="n">
        <x:v>54</x:v>
      </x:c>
      <x:c r="G259" s="6">
        <x:f>D259+E259+F259</x:f>
        <x:v>70</x:v>
      </x:c>
      <x:c r="H259" s="6">
        <x:f>1+SUMPRODUCT(($C$2:$C$271=C259)*($G$2:$G$271&gt;G259))</x:f>
        <x:v>17</x:v>
      </x:c>
      <x:c r="I259" s="7" t="str">
        <x:f>IF(G259&gt;=70,"A",IF(G259&gt;=60,"B",IF(G259&gt;=50,"C",IF(G259&gt;=40,"D","E"))))</x:f>
        <x:v>A</x:v>
      </x:c>
      <x:c r="J259" s="5" t="str">
        <x:f>IF(G259&gt;=70,"Excellent",IF(G259&gt;=60,"Very Good",IF(G259&gt;=50,"Good",IF(G259&gt;=40,"Fair","Needs Improvement"))))</x:f>
        <x:v>Excellent</x:v>
      </x:c>
      <x:c r="K259" s="6" t="n"/>
      <x:c r="L259" s="6" t="n"/>
      <x:c r="M259" s="6" t="n"/>
      <x:c r="N259" s="6" t="n"/>
      <x:c r="O259" s="10" t="n"/>
      <x:c r="P259" s="10" t="n"/>
    </x:row>
    <x:row r="260">
      <x:c r="A260" s="7" t="n"/>
      <x:c r="B260" s="5" t="n"/>
      <x:c r="C260" s="5" t="inlineStr">
        <x:is>
          <x:t xml:space="preserve">Creative and Cultural Art</x:t>
        </x:is>
      </x:c>
      <x:c r="D260" s="6" t="n">
        <x:v>7</x:v>
      </x:c>
      <x:c r="E260" s="6" t="n">
        <x:v>20</x:v>
      </x:c>
      <x:c r="F260" s="6" t="n">
        <x:v>63</x:v>
      </x:c>
      <x:c r="G260" s="6">
        <x:f>D260+E260+F260</x:f>
        <x:v>90</x:v>
      </x:c>
      <x:c r="H260" s="6">
        <x:f>1+SUMPRODUCT(($C$2:$C$271=C260)*($G$2:$G$271&gt;G260))</x:f>
        <x:v>6</x:v>
      </x:c>
      <x:c r="I260" s="7" t="str">
        <x:f>IF(G260&gt;=70,"A",IF(G260&gt;=60,"B",IF(G260&gt;=50,"C",IF(G260&gt;=40,"D","E"))))</x:f>
        <x:v>A</x:v>
      </x:c>
      <x:c r="J260" s="5" t="str">
        <x:f>IF(G260&gt;=70,"Excellent",IF(G260&gt;=60,"Very Good",IF(G260&gt;=50,"Good",IF(G260&gt;=40,"Fair","Needs Improvement"))))</x:f>
        <x:v>Excellent</x:v>
      </x:c>
      <x:c r="K260" s="6" t="n"/>
      <x:c r="L260" s="6" t="n"/>
      <x:c r="M260" s="6" t="n"/>
      <x:c r="N260" s="6" t="n"/>
      <x:c r="O260" s="10" t="n"/>
      <x:c r="P260" s="10" t="n"/>
    </x:row>
    <x:row r="261">
      <x:c r="A261" s="7" t="n"/>
      <x:c r="B261" s="5" t="n"/>
      <x:c r="C261" s="5" t="inlineStr">
        <x:is>
          <x:t xml:space="preserve">Christian Religious Studies</x:t>
        </x:is>
      </x:c>
      <x:c r="D261" s="6" t="n">
        <x:v>10</x:v>
      </x:c>
      <x:c r="E261" s="6" t="n">
        <x:v>20</x:v>
      </x:c>
      <x:c r="F261" s="6" t="n">
        <x:v>70</x:v>
      </x:c>
      <x:c r="G261" s="6">
        <x:f>D261+E261+F261</x:f>
        <x:v>100</x:v>
      </x:c>
      <x:c r="H261" s="6">
        <x:f>1+SUMPRODUCT(($C$2:$C$271=C261)*($G$2:$G$271&gt;G261))</x:f>
        <x:v>1</x:v>
      </x:c>
      <x:c r="I261" s="7" t="str">
        <x:f>IF(G261&gt;=70,"A",IF(G261&gt;=60,"B",IF(G261&gt;=50,"C",IF(G261&gt;=40,"D","E"))))</x:f>
        <x:v>A</x:v>
      </x:c>
      <x:c r="J261" s="5" t="str">
        <x:f>IF(G261&gt;=70,"Excellent",IF(G261&gt;=60,"Very Good",IF(G261&gt;=50,"Good",IF(G261&gt;=40,"Fair","Needs Improvement"))))</x:f>
        <x:v>Excellent</x:v>
      </x:c>
      <x:c r="K261" s="6" t="n"/>
      <x:c r="L261" s="6" t="n"/>
      <x:c r="M261" s="6" t="n"/>
      <x:c r="N261" s="6" t="n"/>
      <x:c r="O261" s="10" t="n"/>
      <x:c r="P261" s="10" t="n"/>
    </x:row>
    <x:row r="262">
      <x:c r="A262" s="7" t="n"/>
      <x:c r="B262" s="5" t="n"/>
      <x:c r="C262" s="5" t="inlineStr">
        <x:is>
          <x:t xml:space="preserve">History Studies</x:t>
        </x:is>
      </x:c>
      <x:c r="D262" s="6" t="n">
        <x:v>7</x:v>
      </x:c>
      <x:c r="E262" s="6" t="n">
        <x:v>18</x:v>
      </x:c>
      <x:c r="F262" s="6" t="n">
        <x:v>58</x:v>
      </x:c>
      <x:c r="G262" s="6">
        <x:f>D262+E262+F262</x:f>
        <x:v>83</x:v>
      </x:c>
      <x:c r="H262" s="6">
        <x:f>1+SUMPRODUCT(($C$2:$C$271=C262)*($G$2:$G$271&gt;G262))</x:f>
        <x:v>6</x:v>
      </x:c>
      <x:c r="I262" s="7" t="str">
        <x:f>IF(G262&gt;=70,"A",IF(G262&gt;=60,"B",IF(G262&gt;=50,"C",IF(G262&gt;=40,"D","E"))))</x:f>
        <x:v>A</x:v>
      </x:c>
      <x:c r="J262" s="5" t="str">
        <x:f>IF(G262&gt;=70,"Excellent",IF(G262&gt;=60,"Very Good",IF(G262&gt;=50,"Good",IF(G262&gt;=40,"Fair","Needs Improvement"))))</x:f>
        <x:v>Excellent</x:v>
      </x:c>
      <x:c r="K262" s="6" t="n"/>
      <x:c r="L262" s="6" t="n"/>
      <x:c r="M262" s="6" t="n"/>
      <x:c r="N262" s="6" t="n"/>
      <x:c r="O262" s="10" t="n"/>
      <x:c r="P262" s="10" t="n"/>
    </x:row>
    <x:row r="263">
      <x:c r="A263" s="3" t="n">
        <x:v>30</x:v>
      </x:c>
      <x:c r="B263" s="4" t="inlineStr">
        <x:is>
          <x:t xml:space="preserve">Martha Oghenemine</x:t>
        </x:is>
      </x:c>
      <x:c r="C263" s="5" t="inlineStr">
        <x:is>
          <x:t xml:space="preserve">Mathematics</x:t>
        </x:is>
      </x:c>
      <x:c r="D263" s="6" t="n">
        <x:v>6</x:v>
      </x:c>
      <x:c r="E263" s="6" t="n">
        <x:v>15</x:v>
      </x:c>
      <x:c r="F263" s="6" t="n">
        <x:v>45</x:v>
      </x:c>
      <x:c r="G263" s="6">
        <x:f>D263+E263+F263</x:f>
        <x:v>66</x:v>
      </x:c>
      <x:c r="H263" s="6">
        <x:f>1+SUMPRODUCT(($C$2:$C$271=C263)*($G$2:$G$271&gt;G263))</x:f>
        <x:v>13</x:v>
      </x:c>
      <x:c r="I263" s="7" t="str">
        <x:f>IF(G263&gt;=70,"A",IF(G263&gt;=60,"B",IF(G263&gt;=50,"C",IF(G263&gt;=40,"D","E"))))</x:f>
        <x:v>B</x:v>
      </x:c>
      <x:c r="J263" s="5" t="str">
        <x:f>IF(G263&gt;=70,"Excellent",IF(G263&gt;=60,"Very Good",IF(G263&gt;=50,"Good",IF(G263&gt;=40,"Fair","Needs Improvement"))))</x:f>
        <x:v>Very Good</x:v>
      </x:c>
      <x:c r="K263" s="8">
        <x:f>SUM(D263:D271)</x:f>
        <x:v>57</x:v>
      </x:c>
      <x:c r="L263" s="8">
        <x:f>SUM(E263:E271)</x:f>
        <x:v>143</x:v>
      </x:c>
      <x:c r="M263" s="8">
        <x:f>SUM(F263:F271)</x:f>
        <x:v>442</x:v>
      </x:c>
      <x:c r="N263" s="8">
        <x:f>SUM(G263:G271)</x:f>
        <x:v>642</x:v>
      </x:c>
      <x:c r="O263" s="9">
        <x:f>ROUND(AVERAGE(G263:G271),2)</x:f>
        <x:v>71.33</x:v>
      </x:c>
      <x:c r="P263" s="9">
        <x:f>ROUND(AVERAGE($G$2:$G$271),2)</x:f>
        <x:v>67.88</x:v>
      </x:c>
    </x:row>
    <x:row r="264">
      <x:c r="A264" s="7" t="n"/>
      <x:c r="B264" s="5" t="n"/>
      <x:c r="C264" s="5" t="inlineStr">
        <x:is>
          <x:t xml:space="preserve">English Studies</x:t>
        </x:is>
      </x:c>
      <x:c r="D264" s="6" t="n">
        <x:v>8</x:v>
      </x:c>
      <x:c r="E264" s="6" t="n">
        <x:v>17</x:v>
      </x:c>
      <x:c r="F264" s="6" t="n">
        <x:v>37</x:v>
      </x:c>
      <x:c r="G264" s="6">
        <x:f>D264+E264+F264</x:f>
        <x:v>62</x:v>
      </x:c>
      <x:c r="H264" s="6">
        <x:f>1+SUMPRODUCT(($C$2:$C$271=C264)*($G$2:$G$271&gt;G264))</x:f>
        <x:v>19</x:v>
      </x:c>
      <x:c r="I264" s="7" t="str">
        <x:f>IF(G264&gt;=70,"A",IF(G264&gt;=60,"B",IF(G264&gt;=50,"C",IF(G264&gt;=40,"D","E"))))</x:f>
        <x:v>B</x:v>
      </x:c>
      <x:c r="J264" s="5" t="str">
        <x:f>IF(G264&gt;=70,"Excellent",IF(G264&gt;=60,"Very Good",IF(G264&gt;=50,"Good",IF(G264&gt;=40,"Fair","Needs Improvement"))))</x:f>
        <x:v>Very Good</x:v>
      </x:c>
      <x:c r="K264" s="6" t="n"/>
      <x:c r="L264" s="6" t="n"/>
      <x:c r="M264" s="6" t="n"/>
      <x:c r="N264" s="6" t="n"/>
      <x:c r="O264" s="10" t="n"/>
      <x:c r="P264" s="10" t="n"/>
    </x:row>
    <x:row r="265">
      <x:c r="A265" s="7" t="n"/>
      <x:c r="B265" s="5" t="n"/>
      <x:c r="C265" s="5" t="inlineStr">
        <x:is>
          <x:t xml:space="preserve">Basic Science and Technology</x:t>
        </x:is>
      </x:c>
      <x:c r="D265" s="6" t="n">
        <x:v>6</x:v>
      </x:c>
      <x:c r="E265" s="6" t="n">
        <x:v>16</x:v>
      </x:c>
      <x:c r="F265" s="6" t="n">
        <x:v>44</x:v>
      </x:c>
      <x:c r="G265" s="6">
        <x:f>D265+E265+F265</x:f>
        <x:v>66</x:v>
      </x:c>
      <x:c r="H265" s="6">
        <x:f>1+SUMPRODUCT(($C$2:$C$271=C265)*($G$2:$G$271&gt;G265))</x:f>
        <x:v>16</x:v>
      </x:c>
      <x:c r="I265" s="7" t="str">
        <x:f>IF(G265&gt;=70,"A",IF(G265&gt;=60,"B",IF(G265&gt;=50,"C",IF(G265&gt;=40,"D","E"))))</x:f>
        <x:v>B</x:v>
      </x:c>
      <x:c r="J265" s="5" t="str">
        <x:f>IF(G265&gt;=70,"Excellent",IF(G265&gt;=60,"Very Good",IF(G265&gt;=50,"Good",IF(G265&gt;=40,"Fair","Needs Improvement"))))</x:f>
        <x:v>Very Good</x:v>
      </x:c>
      <x:c r="K265" s="6" t="n"/>
      <x:c r="L265" s="6" t="n"/>
      <x:c r="M265" s="6" t="n"/>
      <x:c r="N265" s="6" t="n"/>
      <x:c r="O265" s="10" t="n"/>
      <x:c r="P265" s="10" t="n"/>
    </x:row>
    <x:row r="266">
      <x:c r="A266" s="7" t="n"/>
      <x:c r="B266" s="5" t="n"/>
      <x:c r="C266" s="5" t="inlineStr">
        <x:is>
          <x:t xml:space="preserve">Pre-Vocational Studies</x:t>
        </x:is>
      </x:c>
      <x:c r="D266" s="6" t="n">
        <x:v>3</x:v>
      </x:c>
      <x:c r="E266" s="6" t="n">
        <x:v>11</x:v>
      </x:c>
      <x:c r="F266" s="6" t="n">
        <x:v>49</x:v>
      </x:c>
      <x:c r="G266" s="6">
        <x:f>D266+E266+F266</x:f>
        <x:v>63</x:v>
      </x:c>
      <x:c r="H266" s="6">
        <x:f>1+SUMPRODUCT(($C$2:$C$271=C266)*($G$2:$G$271&gt;G266))</x:f>
        <x:v>18</x:v>
      </x:c>
      <x:c r="I266" s="7" t="str">
        <x:f>IF(G266&gt;=70,"A",IF(G266&gt;=60,"B",IF(G266&gt;=50,"C",IF(G266&gt;=40,"D","E"))))</x:f>
        <x:v>B</x:v>
      </x:c>
      <x:c r="J266" s="5" t="str">
        <x:f>IF(G266&gt;=70,"Excellent",IF(G266&gt;=60,"Very Good",IF(G266&gt;=50,"Good",IF(G266&gt;=40,"Fair","Needs Improvement"))))</x:f>
        <x:v>Very Good</x:v>
      </x:c>
      <x:c r="K266" s="6" t="n"/>
      <x:c r="L266" s="6" t="n"/>
      <x:c r="M266" s="6" t="n"/>
      <x:c r="N266" s="6" t="n"/>
      <x:c r="O266" s="10" t="n"/>
      <x:c r="P266" s="10" t="n"/>
    </x:row>
    <x:row r="267">
      <x:c r="A267" s="7" t="n"/>
      <x:c r="B267" s="5" t="n"/>
      <x:c r="C267" s="5" t="inlineStr">
        <x:is>
          <x:t xml:space="preserve">National Value</x:t>
        </x:is>
      </x:c>
      <x:c r="D267" s="6" t="n">
        <x:v>4</x:v>
      </x:c>
      <x:c r="E267" s="6" t="n">
        <x:v>18</x:v>
      </x:c>
      <x:c r="F267" s="6" t="n">
        <x:v>53</x:v>
      </x:c>
      <x:c r="G267" s="6">
        <x:f>D267+E267+F267</x:f>
        <x:v>75</x:v>
      </x:c>
      <x:c r="H267" s="6">
        <x:f>1+SUMPRODUCT(($C$2:$C$271=C267)*($G$2:$G$271&gt;G267))</x:f>
        <x:v>12</x:v>
      </x:c>
      <x:c r="I267" s="7" t="str">
        <x:f>IF(G267&gt;=70,"A",IF(G267&gt;=60,"B",IF(G267&gt;=50,"C",IF(G267&gt;=40,"D","E"))))</x:f>
        <x:v>A</x:v>
      </x:c>
      <x:c r="J267" s="5" t="str">
        <x:f>IF(G267&gt;=70,"Excellent",IF(G267&gt;=60,"Very Good",IF(G267&gt;=50,"Good",IF(G267&gt;=40,"Fair","Needs Improvement"))))</x:f>
        <x:v>Excellent</x:v>
      </x:c>
      <x:c r="K267" s="6" t="n"/>
      <x:c r="L267" s="6" t="n"/>
      <x:c r="M267" s="6" t="n"/>
      <x:c r="N267" s="6" t="n"/>
      <x:c r="O267" s="10" t="n"/>
      <x:c r="P267" s="10" t="n"/>
    </x:row>
    <x:row r="268">
      <x:c r="A268" s="7" t="n"/>
      <x:c r="B268" s="5" t="n"/>
      <x:c r="C268" s="5" t="inlineStr">
        <x:is>
          <x:t xml:space="preserve">Business Studies</x:t>
        </x:is>
      </x:c>
      <x:c r="D268" s="6" t="n">
        <x:v>9</x:v>
      </x:c>
      <x:c r="E268" s="6" t="n">
        <x:v>12</x:v>
      </x:c>
      <x:c r="F268" s="6" t="n">
        <x:v>53</x:v>
      </x:c>
      <x:c r="G268" s="6">
        <x:f>D268+E268+F268</x:f>
        <x:v>74</x:v>
      </x:c>
      <x:c r="H268" s="6">
        <x:f>1+SUMPRODUCT(($C$2:$C$271=C268)*($G$2:$G$271&gt;G268))</x:f>
        <x:v>12</x:v>
      </x:c>
      <x:c r="I268" s="7" t="str">
        <x:f>IF(G268&gt;=70,"A",IF(G268&gt;=60,"B",IF(G268&gt;=50,"C",IF(G268&gt;=40,"D","E"))))</x:f>
        <x:v>A</x:v>
      </x:c>
      <x:c r="J268" s="5" t="str">
        <x:f>IF(G268&gt;=70,"Excellent",IF(G268&gt;=60,"Very Good",IF(G268&gt;=50,"Good",IF(G268&gt;=40,"Fair","Needs Improvement"))))</x:f>
        <x:v>Excellent</x:v>
      </x:c>
      <x:c r="K268" s="6" t="n"/>
      <x:c r="L268" s="6" t="n"/>
      <x:c r="M268" s="6" t="n"/>
      <x:c r="N268" s="6" t="n"/>
      <x:c r="O268" s="10" t="n"/>
      <x:c r="P268" s="10" t="n"/>
    </x:row>
    <x:row r="269">
      <x:c r="A269" s="7" t="n"/>
      <x:c r="B269" s="5" t="n"/>
      <x:c r="C269" s="5" t="inlineStr">
        <x:is>
          <x:t xml:space="preserve">Creative and Cultural Art</x:t>
        </x:is>
      </x:c>
      <x:c r="D269" s="6" t="n">
        <x:v>8</x:v>
      </x:c>
      <x:c r="E269" s="6" t="n">
        <x:v>18</x:v>
      </x:c>
      <x:c r="F269" s="6" t="n">
        <x:v>57</x:v>
      </x:c>
      <x:c r="G269" s="6">
        <x:f>D269+E269+F269</x:f>
        <x:v>83</x:v>
      </x:c>
      <x:c r="H269" s="6">
        <x:f>1+SUMPRODUCT(($C$2:$C$271=C269)*($G$2:$G$271&gt;G269))</x:f>
        <x:v>7</x:v>
      </x:c>
      <x:c r="I269" s="7" t="str">
        <x:f>IF(G269&gt;=70,"A",IF(G269&gt;=60,"B",IF(G269&gt;=50,"C",IF(G269&gt;=40,"D","E"))))</x:f>
        <x:v>A</x:v>
      </x:c>
      <x:c r="J269" s="5" t="str">
        <x:f>IF(G269&gt;=70,"Excellent",IF(G269&gt;=60,"Very Good",IF(G269&gt;=50,"Good",IF(G269&gt;=40,"Fair","Needs Improvement"))))</x:f>
        <x:v>Excellent</x:v>
      </x:c>
      <x:c r="K269" s="6" t="n"/>
      <x:c r="L269" s="6" t="n"/>
      <x:c r="M269" s="6" t="n"/>
      <x:c r="N269" s="6" t="n"/>
      <x:c r="O269" s="10" t="n"/>
      <x:c r="P269" s="10" t="n"/>
    </x:row>
    <x:row r="270">
      <x:c r="A270" s="7" t="n"/>
      <x:c r="B270" s="5" t="n"/>
      <x:c r="C270" s="5" t="inlineStr">
        <x:is>
          <x:t xml:space="preserve">Christian Religious Studies</x:t>
        </x:is>
      </x:c>
      <x:c r="D270" s="6" t="n">
        <x:v>8</x:v>
      </x:c>
      <x:c r="E270" s="6" t="n">
        <x:v>19</x:v>
      </x:c>
      <x:c r="F270" s="6" t="n">
        <x:v>54</x:v>
      </x:c>
      <x:c r="G270" s="6">
        <x:f>D270+E270+F270</x:f>
        <x:v>81</x:v>
      </x:c>
      <x:c r="H270" s="6">
        <x:f>1+SUMPRODUCT(($C$2:$C$271=C270)*($G$2:$G$271&gt;G270))</x:f>
        <x:v>12</x:v>
      </x:c>
      <x:c r="I270" s="7" t="str">
        <x:f>IF(G270&gt;=70,"A",IF(G270&gt;=60,"B",IF(G270&gt;=50,"C",IF(G270&gt;=40,"D","E"))))</x:f>
        <x:v>A</x:v>
      </x:c>
      <x:c r="J270" s="5" t="str">
        <x:f>IF(G270&gt;=70,"Excellent",IF(G270&gt;=60,"Very Good",IF(G270&gt;=50,"Good",IF(G270&gt;=40,"Fair","Needs Improvement"))))</x:f>
        <x:v>Excellent</x:v>
      </x:c>
      <x:c r="K270" s="6" t="n"/>
      <x:c r="L270" s="6" t="n"/>
      <x:c r="M270" s="6" t="n"/>
      <x:c r="N270" s="6" t="n"/>
      <x:c r="O270" s="10" t="n"/>
      <x:c r="P270" s="10" t="n"/>
    </x:row>
    <x:row r="271">
      <x:c r="A271" s="7" t="n"/>
      <x:c r="B271" s="5" t="n"/>
      <x:c r="C271" s="5" t="inlineStr">
        <x:is>
          <x:t xml:space="preserve">History Studies</x:t>
        </x:is>
      </x:c>
      <x:c r="D271" s="6" t="n">
        <x:v>5</x:v>
      </x:c>
      <x:c r="E271" s="6" t="n">
        <x:v>17</x:v>
      </x:c>
      <x:c r="F271" s="6" t="n">
        <x:v>50</x:v>
      </x:c>
      <x:c r="G271" s="6">
        <x:f>D271+E271+F271</x:f>
        <x:v>72</x:v>
      </x:c>
      <x:c r="H271" s="6">
        <x:f>1+SUMPRODUCT(($C$2:$C$271=C271)*($G$2:$G$271&gt;G271))</x:f>
        <x:v>15</x:v>
      </x:c>
      <x:c r="I271" s="7" t="str">
        <x:f>IF(G271&gt;=70,"A",IF(G271&gt;=60,"B",IF(G271&gt;=50,"C",IF(G271&gt;=40,"D","E"))))</x:f>
        <x:v>A</x:v>
      </x:c>
      <x:c r="J271" s="5" t="str">
        <x:f>IF(G271&gt;=70,"Excellent",IF(G271&gt;=60,"Very Good",IF(G271&gt;=50,"Good",IF(G271&gt;=40,"Fair","Needs Improvement"))))</x:f>
        <x:v>Excellent</x:v>
      </x:c>
      <x:c r="K271" s="6" t="n"/>
      <x:c r="L271" s="6" t="n"/>
      <x:c r="M271" s="6" t="n"/>
      <x:c r="N271" s="6" t="n"/>
      <x:c r="O271" s="10" t="n"/>
      <x:c r="P271" s="10" t="n"/>
    </x:row>
  </x:sheetData>
  <x:mergeCells>
    <x:mergeCell ref="P65:P73"/>
    <x:mergeCell ref="N164:N172"/>
    <x:mergeCell ref="L263:L271"/>
    <x:mergeCell ref="P2:P10"/>
    <x:mergeCell ref="B137:B145"/>
    <x:mergeCell ref="A101:A109"/>
    <x:mergeCell ref="L128:L136"/>
    <x:mergeCell ref="A254:A262"/>
    <x:mergeCell ref="N128:N136"/>
    <x:mergeCell ref="A263:A271"/>
    <x:mergeCell ref="K254:K262"/>
    <x:mergeCell ref="L38:L46"/>
    <x:mergeCell ref="N137:N145"/>
    <x:mergeCell ref="B65:B73"/>
    <x:mergeCell ref="N38:N46"/>
    <x:mergeCell ref="M254:M262"/>
    <x:mergeCell ref="K263:K271"/>
    <x:mergeCell ref="B74:B82"/>
    <x:mergeCell ref="M263:M271"/>
    <x:mergeCell ref="A20:A28"/>
    <x:mergeCell ref="L56:L64"/>
    <x:mergeCell ref="L227:L235"/>
    <x:mergeCell ref="A29:A37"/>
    <x:mergeCell ref="A200:A208"/>
    <x:mergeCell ref="L236:L244"/>
    <x:mergeCell ref="K38:K46"/>
    <x:mergeCell ref="K191:K199"/>
    <x:mergeCell ref="M29:M37"/>
    <x:mergeCell ref="N245:N253"/>
    <x:mergeCell ref="L155:L163"/>
    <x:mergeCell ref="P245:P253"/>
    <x:mergeCell ref="N83:N91"/>
    <x:mergeCell ref="P227:P235"/>
    <x:mergeCell ref="N254:N262"/>
    <x:mergeCell ref="P83:P91"/>
    <x:mergeCell ref="B164:B172"/>
    <x:mergeCell ref="P236:P244"/>
    <x:mergeCell ref="B20:B28"/>
    <x:mergeCell ref="M56:M64"/>
    <x:mergeCell ref="B173:B181"/>
    <x:mergeCell ref="L173:L181"/>
    <x:mergeCell ref="P254:P262"/>
    <x:mergeCell ref="L11:L19"/>
    <x:mergeCell ref="L182:L190"/>
    <x:mergeCell ref="N11:N19"/>
    <x:mergeCell ref="N20:N28"/>
    <x:mergeCell ref="P164:P172"/>
    <x:mergeCell ref="P20:P28"/>
    <x:mergeCell ref="P29:P37"/>
    <x:mergeCell ref="L110:L118"/>
    <x:mergeCell ref="K65:K73"/>
    <x:mergeCell ref="K218:K226"/>
    <x:mergeCell ref="K74:K82"/>
    <x:mergeCell ref="B263:B271"/>
    <x:mergeCell ref="K209:K217"/>
    <x:mergeCell ref="B101:B109"/>
    <x:mergeCell ref="O146:O154"/>
    <x:mergeCell ref="A227:A235"/>
    <x:mergeCell ref="A236:A244"/>
    <x:mergeCell ref="M74:M82"/>
    <x:mergeCell ref="B182:B190"/>
    <x:mergeCell ref="O74:O82"/>
    <x:mergeCell ref="M227:M235"/>
    <x:mergeCell ref="P263:P271"/>
    <x:mergeCell ref="B191:B199"/>
    <x:mergeCell ref="L200:L208"/>
    <x:mergeCell ref="A164:A172"/>
    <x:mergeCell ref="N200:N208"/>
    <x:mergeCell ref="L209:L217"/>
    <x:mergeCell ref="N182:N190"/>
    <x:mergeCell ref="A2:A10"/>
    <x:mergeCell ref="K2:K10"/>
    <x:mergeCell ref="L92:L100"/>
    <x:mergeCell ref="N191:N199"/>
    <x:mergeCell ref="B119:B127"/>
    <x:mergeCell ref="B128:B136"/>
    <x:mergeCell ref="L119:L127"/>
    <x:mergeCell ref="P47:P55"/>
    <x:mergeCell ref="P218:P226"/>
    <x:mergeCell ref="K245:K253"/>
    <x:mergeCell ref="O173:O181"/>
    <x:mergeCell ref="O11:O19"/>
    <x:mergeCell ref="O182:O190"/>
    <x:mergeCell ref="K101:K109"/>
    <x:mergeCell ref="M101:M109"/>
    <x:mergeCell ref="P137:P145"/>
    <x:mergeCell ref="O110:O118"/>
    <x:mergeCell ref="L65:L73"/>
    <x:mergeCell ref="O119:O127"/>
    <x:mergeCell ref="N65:N73"/>
    <x:mergeCell ref="A47:A55"/>
    <x:mergeCell ref="N74:N82"/>
    <x:mergeCell ref="P74:P82"/>
    <x:mergeCell ref="M47:M55"/>
    <x:mergeCell ref="B209:B217"/>
    <x:mergeCell ref="L2:L10"/>
    <x:mergeCell ref="A11:A19"/>
    <x:mergeCell ref="A182:A190"/>
    <x:mergeCell ref="A191:A199"/>
    <x:mergeCell ref="K92:K100"/>
    <x:mergeCell ref="B155:B163"/>
    <x:mergeCell ref="N236:N244"/>
    <x:mergeCell ref="O200:O208"/>
    <x:mergeCell ref="B11:B19"/>
    <x:mergeCell ref="N2:N10"/>
    <x:mergeCell ref="A137:A145"/>
    <x:mergeCell ref="N155:N163"/>
    <x:mergeCell ref="O92:O100"/>
    <x:mergeCell ref="P155:P163"/>
    <x:mergeCell ref="A146:A154"/>
    <x:mergeCell ref="M128:M136"/>
    <x:mergeCell ref="O128:O136"/>
    <x:mergeCell ref="M137:M145"/>
    <x:mergeCell ref="A65:A73"/>
    <x:mergeCell ref="L83:L91"/>
    <x:mergeCell ref="O137:O145"/>
    <x:mergeCell ref="A218:A226"/>
    <x:mergeCell ref="A74:A82"/>
    <x:mergeCell ref="L254:L262"/>
    <x:mergeCell ref="O29:O37"/>
    <x:mergeCell ref="A56:A64"/>
    <x:mergeCell ref="K56:K64"/>
    <x:mergeCell ref="M65:M73"/>
    <x:mergeCell ref="N92:N100"/>
    <x:mergeCell ref="L146:L154"/>
    <x:mergeCell ref="O65:O73"/>
    <x:mergeCell ref="B29:B37"/>
    <x:mergeCell ref="N263:N271"/>
    <x:mergeCell ref="L20:L28"/>
    <x:mergeCell ref="B38:B46"/>
    <x:mergeCell ref="L29:L37"/>
    <x:mergeCell ref="N29:N37"/>
    <x:mergeCell ref="P101:P109"/>
    <x:mergeCell ref="K155:K163"/>
    <x:mergeCell ref="O56:O64"/>
    <x:mergeCell ref="O227:O235"/>
    <x:mergeCell ref="O236:O244"/>
    <x:mergeCell ref="M164:M172"/>
    <x:mergeCell ref="P200:P208"/>
    <x:mergeCell ref="O164:O172"/>
    <x:mergeCell ref="O2:O10"/>
    <x:mergeCell ref="N119:N127"/>
    <x:mergeCell ref="A155:A163"/>
    <x:mergeCell ref="L191:L199"/>
    <x:mergeCell ref="B92:B100"/>
    <x:mergeCell ref="L164:L172"/>
    <x:mergeCell ref="M146:M154"/>
    <x:mergeCell ref="A83:A91"/>
    <x:mergeCell ref="O38:O46"/>
    <x:mergeCell ref="A92:A100"/>
    <x:mergeCell ref="K83:K91"/>
    <x:mergeCell ref="B200:B208"/>
    <x:mergeCell ref="M92:M100"/>
    <x:mergeCell ref="M245:M253"/>
    <x:mergeCell ref="P128:P136"/>
    <x:mergeCell ref="O245:O253"/>
    <x:mergeCell ref="B56:B64"/>
    <x:mergeCell ref="B227:B235"/>
    <x:mergeCell ref="L218:L226"/>
    <x:mergeCell ref="O83:O91"/>
    <x:mergeCell ref="P38:P46"/>
    <x:mergeCell ref="B236:B244"/>
    <x:mergeCell ref="O254:O262"/>
    <x:mergeCell ref="O263:O271"/>
    <x:mergeCell ref="K173:K181"/>
    <x:mergeCell ref="N56:N64"/>
    <x:mergeCell ref="N209:N217"/>
    <x:mergeCell ref="M173:M181"/>
    <x:mergeCell ref="P56:P64"/>
    <x:mergeCell ref="K182:K190"/>
    <x:mergeCell ref="N227:N235"/>
    <x:mergeCell ref="M11:M19"/>
    <x:mergeCell ref="M182:M190"/>
    <x:mergeCell ref="A110:A118"/>
    <x:mergeCell ref="O20:O28"/>
    <x:mergeCell ref="B2:B10"/>
    <x:mergeCell ref="M191:M199"/>
    <x:mergeCell ref="A119:A127"/>
    <x:mergeCell ref="L137:L145"/>
    <x:mergeCell ref="K110:K118"/>
    <x:mergeCell ref="O191:O199"/>
    <x:mergeCell ref="A128:A136"/>
    <x:mergeCell ref="M110:M118"/>
    <x:mergeCell ref="K119:K127"/>
    <x:mergeCell ref="M119:M127"/>
    <x:mergeCell ref="K11:K19"/>
    <x:mergeCell ref="L74:L82"/>
    <x:mergeCell ref="L245:L253"/>
    <x:mergeCell ref="K47:K55"/>
    <x:mergeCell ref="P11:P19"/>
    <x:mergeCell ref="M218:M226"/>
    <x:mergeCell ref="O47:O55"/>
    <x:mergeCell ref="P146:P154"/>
    <x:mergeCell ref="O218:O226"/>
    <x:mergeCell ref="B245:B253"/>
    <x:mergeCell ref="B83:B91"/>
    <x:mergeCell ref="B254:B262"/>
    <x:mergeCell ref="P209:P217"/>
    <x:mergeCell ref="A209:A217"/>
    <x:mergeCell ref="K200:K208"/>
    <x:mergeCell ref="B146:B154"/>
    <x:mergeCell ref="M200:M208"/>
    <x:mergeCell ref="M209:M217"/>
    <x:mergeCell ref="N146:N154"/>
    <x:mergeCell ref="O209:O217"/>
    <x:mergeCell ref="K128:K136"/>
    <x:mergeCell ref="K137:K145"/>
    <x:mergeCell ref="A38:A46"/>
    <x:mergeCell ref="K146:K154"/>
    <x:mergeCell ref="N173:N181"/>
    <x:mergeCell ref="B218:B226"/>
    <x:mergeCell ref="M38:M46"/>
    <x:mergeCell ref="P173:P181"/>
    <x:mergeCell ref="B110:B118"/>
    <x:mergeCell ref="P182:P190"/>
    <x:mergeCell ref="M155:M163"/>
    <x:mergeCell ref="N218:N226"/>
    <x:mergeCell ref="O155:O163"/>
    <x:mergeCell ref="L101:L109"/>
    <x:mergeCell ref="P191:P199"/>
    <x:mergeCell ref="P92:P100"/>
    <x:mergeCell ref="N101:N109"/>
    <x:mergeCell ref="N110:N118"/>
    <x:mergeCell ref="A245:A253"/>
    <x:mergeCell ref="P110:P118"/>
    <x:mergeCell ref="K227:K235"/>
    <x:mergeCell ref="P119:P127"/>
    <x:mergeCell ref="M83:M91"/>
    <x:mergeCell ref="K236:K244"/>
    <x:mergeCell ref="B47:B55"/>
    <x:mergeCell ref="M236:M244"/>
    <x:mergeCell ref="L47:L55"/>
    <x:mergeCell ref="A173:A181"/>
    <x:mergeCell ref="K164:K172"/>
    <x:mergeCell ref="N47:N55"/>
    <x:mergeCell ref="K20:K28"/>
    <x:mergeCell ref="M20:M28"/>
    <x:mergeCell ref="K29:K37"/>
    <x:mergeCell ref="M2:M10"/>
    <x:mergeCell ref="O101:O109"/>
  </x:mergeCells>
  <x:pageMargins left="0.7" right="0.7" top="0.75" bottom="0.75" header="0.3" footer="0.3"/>
</x:worksheet>
</file>