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7331eb8bf740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dd7bfb7123140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sz val="11"/>
      <x:name val="Calibri"/>
    </x:font>
    <x:font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5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D9D9D9"/>
      </x:left>
      <x:right style="thin">
        <x:color rgb="FFD9D9D9"/>
      </x:right>
      <x:top/>
      <x:bottom/>
      <x:diagonal/>
    </x:border>
    <x:border>
      <x:left style="thin">
        <x:color rgb="FFD9D9D9"/>
      </x:left>
      <x:right style="thin">
        <x:color rgb="FFD9D9D9"/>
      </x:right>
      <x:top/>
      <x:bottom style="thin">
        <x:color rgb="FFD9D9D9"/>
      </x:bottom>
      <x:diagonal/>
    </x:border>
    <x:border>
      <x:left style="thin">
        <x:color rgb="FFD9D9D9"/>
      </x:left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horizontal="center" vertical="center" wrapText="1"/>
    </x:xf>
    <x:xf numFmtId="0" fontId="2" fillId="0" borderId="1" xfId="0" applyAlignment="1">
      <x:alignment horizontal="left" vertical="center" wrapText="1"/>
    </x:xf>
    <x:xf numFmtId="0" fontId="0" fillId="0" borderId="1" xfId="0" applyAlignment="1">
      <x:alignment horizontal="left" vertical="center" wrapText="1"/>
    </x:xf>
    <x:xf numFmtId="1" fontId="0" fillId="0" borderId="1" xfId="0" applyAlignment="1">
      <x:alignment horizontal="center" vertical="center" wrapText="1"/>
    </x:xf>
    <x:xf numFmtId="0" fontId="0" fillId="0" borderId="1" xfId="0" applyAlignment="1">
      <x:alignment horizontal="center" vertical="center" wrapText="1"/>
    </x:xf>
    <x:xf numFmtId="1" fontId="2" fillId="0" borderId="1" xfId="0" applyAlignment="1">
      <x:alignment horizontal="center" vertical="center" wrapText="1"/>
    </x:xf>
    <x:xf numFmtId="2" fontId="2" fillId="0" borderId="1" xfId="0" applyAlignment="1">
      <x:alignment horizontal="center" vertical="center" wrapText="1"/>
    </x:xf>
    <x:xf numFmtId="0" fontId="0" fillId="0" borderId="2" xfId="0"/>
    <x:xf numFmtId="0" fontId="0" fillId="0" borderId="3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1aeaca10564357" /><Relationship Type="http://schemas.openxmlformats.org/officeDocument/2006/relationships/theme" Target="/xl/theme/theme1.xml" Id="Reb32cb83dc974701" /><Relationship Type="http://schemas.openxmlformats.org/officeDocument/2006/relationships/sharedStrings" Target="/xl/sharedStrings.xml" Id="R74b056d8e7a642c6" /><Relationship Type="http://schemas.openxmlformats.org/officeDocument/2006/relationships/worksheet" Target="/xl/worksheets/sheet1.xml" Id="Rfdd7bfb71231405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399999618530273"/>
  <x:cols>
    <x:col min="1" max="1" width="16" customWidth="1"/>
    <x:col min="2" max="2" width="24" customWidth="1"/>
    <x:col min="3" max="3" width="30" customWidth="1"/>
    <x:col min="4" max="4" width="12" customWidth="1"/>
    <x:col min="8" max="8" width="10" customWidth="1"/>
    <x:col min="9" max="9" width="8" customWidth="1"/>
    <x:col min="10" max="10" width="16" customWidth="1"/>
    <x:col min="11" max="11" width="14" customWidth="1"/>
    <x:col min="12" max="12" width="15" customWidth="1"/>
    <x:col min="13" max="13" width="16" customWidth="1"/>
    <x:col min="14" max="14" width="13" customWidth="1"/>
    <x:col min="15" max="15" width="12" customWidth="1"/>
  </x:cols>
  <x:sheetData>
    <x:row r="1" ht="28.799999237060547" customHeight="1">
      <x:c r="A1" s="1" t="inlineStr">
        <x:is>
          <x:t xml:space="preserve">Student Number</x:t>
        </x:is>
      </x:c>
      <x:c r="B1" s="1" t="inlineStr">
        <x:is>
          <x:t xml:space="preserve">Full Name</x:t>
        </x:is>
      </x:c>
      <x:c r="C1" s="1" t="inlineStr">
        <x:is>
          <x:t xml:space="preserve">Subject</x:t>
        </x:is>
      </x:c>
      <x:c r="D1" s="1" t="inlineStr">
        <x:is>
          <x:t xml:space="preserve">First Test</x:t>
        </x:is>
      </x:c>
      <x:c r="E1" s="1" t="inlineStr">
        <x:is>
          <x:t xml:space="preserve">Second Test</x:t>
        </x:is>
      </x:c>
      <x:c r="F1" s="1" t="inlineStr">
        <x:is>
          <x:t xml:space="preserve">Examination</x:t>
        </x:is>
      </x:c>
      <x:c r="G1" s="1" t="inlineStr">
        <x:is>
          <x:t xml:space="preserve">Total Grades</x:t>
        </x:is>
      </x:c>
      <x:c r="H1" s="1" t="inlineStr">
        <x:is>
          <x:t xml:space="preserve">Position</x:t>
        </x:is>
      </x:c>
      <x:c r="I1" s="1" t="inlineStr">
        <x:is>
          <x:t xml:space="preserve">Grade</x:t>
        </x:is>
      </x:c>
      <x:c r="J1" s="1" t="inlineStr">
        <x:is>
          <x:t xml:space="preserve">Remarks</x:t>
        </x:is>
      </x:c>
      <x:c r="K1" s="1" t="inlineStr">
        <x:is>
          <x:t xml:space="preserve">Total First Test</x:t>
        </x:is>
      </x:c>
      <x:c r="L1" s="1" t="inlineStr">
        <x:is>
          <x:t xml:space="preserve">Total Second Test</x:t>
        </x:is>
      </x:c>
      <x:c r="M1" s="1" t="inlineStr">
        <x:is>
          <x:t xml:space="preserve">Total Examination</x:t>
        </x:is>
      </x:c>
      <x:c r="N1" s="1" t="inlineStr">
        <x:is>
          <x:t xml:space="preserve">Overall Total</x:t>
        </x:is>
      </x:c>
      <x:c r="O1" s="1" t="inlineStr">
        <x:is>
          <x:t xml:space="preserve">Mark Average</x:t>
        </x:is>
      </x:c>
      <x:c r="P1" s="1" t="inlineStr">
        <x:is>
          <x:t xml:space="preserve">Class Average</x:t>
        </x:is>
      </x:c>
    </x:row>
    <x:row r="2">
      <x:c r="A2" s="2" t="inlineStr">
        <x:is>
          <x:t xml:space="preserve">EIS/2026/0001</x:t>
        </x:is>
      </x:c>
      <x:c r="B2" s="3" t="inlineStr">
        <x:is>
          <x:t xml:space="preserve">Greg John</x:t>
        </x:is>
      </x:c>
      <x:c r="C2" s="4" t="inlineStr">
        <x:is>
          <x:t xml:space="preserve">Mathematics</x:t>
        </x:is>
      </x:c>
      <x:c r="D2" s="5" t="n">
        <x:v>9</x:v>
      </x:c>
      <x:c r="E2" s="5" t="n">
        <x:v>12</x:v>
      </x:c>
      <x:c r="F2" s="5" t="n">
        <x:v>39</x:v>
      </x:c>
      <x:c r="G2" s="5">
        <x:f>D2+E2+F2</x:f>
        <x:v>60</x:v>
      </x:c>
      <x:c r="H2" s="5">
        <x:f>1+SUMPRODUCT(($C$2:$C$91=C2)*($G$2:$G$91&gt;G2))</x:f>
        <x:v>4</x:v>
      </x:c>
      <x:c r="I2" s="6" t="str">
        <x:f>IF(G2&gt;=70,"A",IF(G2&gt;=60,"B",IF(G2&gt;=50,"C",IF(G2&gt;=40,"D","E"))))</x:f>
        <x:v>B</x:v>
      </x:c>
      <x:c r="J2" s="4" t="str">
        <x:f>IF(G2&gt;=70,"Excellent",IF(G2&gt;=60,"Very Good",IF(G2&gt;=50,"Good",IF(G2&gt;=40,"Fair","Needs Improvement"))))</x:f>
        <x:v>Very Good</x:v>
      </x:c>
      <x:c r="K2" s="7">
        <x:f>SUM(D2:D10)</x:f>
        <x:v>74</x:v>
      </x:c>
      <x:c r="L2" s="7">
        <x:f>SUM(E2:E10)</x:f>
        <x:v>134</x:v>
      </x:c>
      <x:c r="M2" s="7">
        <x:f>SUM(F2:F10)</x:f>
        <x:v>492</x:v>
      </x:c>
      <x:c r="N2" s="7">
        <x:f>SUM(G2:G10)</x:f>
        <x:v>700</x:v>
      </x:c>
      <x:c r="O2" s="8">
        <x:f>ROUND(AVERAGE(G2:G10),2)</x:f>
        <x:v>77.78</x:v>
      </x:c>
      <x:c r="P2" s="8">
        <x:f>ROUND(AVERAGE($G$2:$G$91),2)</x:f>
        <x:v>67.87</x:v>
      </x:c>
    </x:row>
    <x:row r="3">
      <x:c r="A3" s="9" t="n"/>
      <x:c r="B3" s="9" t="n"/>
      <x:c r="C3" s="4" t="inlineStr">
        <x:is>
          <x:t xml:space="preserve">English Studies</x:t>
        </x:is>
      </x:c>
      <x:c r="D3" s="5" t="n">
        <x:v>5</x:v>
      </x:c>
      <x:c r="E3" s="5" t="n">
        <x:v>11</x:v>
      </x:c>
      <x:c r="F3" s="5" t="n">
        <x:v>50</x:v>
      </x:c>
      <x:c r="G3" s="5">
        <x:f>D3+E3+F3</x:f>
        <x:v>66</x:v>
      </x:c>
      <x:c r="H3" s="5">
        <x:f>1+SUMPRODUCT(($C$2:$C$91=C3)*($G$2:$G$91&gt;G3))</x:f>
        <x:v>6</x:v>
      </x:c>
      <x:c r="I3" s="6" t="str">
        <x:f>IF(G3&gt;=70,"A",IF(G3&gt;=60,"B",IF(G3&gt;=50,"C",IF(G3&gt;=40,"D","E"))))</x:f>
        <x:v>B</x:v>
      </x:c>
      <x:c r="J3" s="4" t="str">
        <x:f>IF(G3&gt;=70,"Excellent",IF(G3&gt;=60,"Very Good",IF(G3&gt;=50,"Good",IF(G3&gt;=40,"Fair","Needs Improvement"))))</x:f>
        <x:v>Very Good</x:v>
      </x:c>
      <x:c r="K3" s="9" t="n"/>
      <x:c r="L3" s="9" t="n"/>
      <x:c r="M3" s="9" t="n"/>
      <x:c r="N3" s="9" t="n"/>
      <x:c r="O3" s="9" t="n"/>
      <x:c r="P3" s="9" t="n"/>
    </x:row>
    <x:row r="4">
      <x:c r="A4" s="9" t="n"/>
      <x:c r="B4" s="9" t="n"/>
      <x:c r="C4" s="4" t="inlineStr">
        <x:is>
          <x:t xml:space="preserve">Basic Science and Technology</x:t>
        </x:is>
      </x:c>
      <x:c r="D4" s="5" t="n">
        <x:v>10</x:v>
      </x:c>
      <x:c r="E4" s="5" t="n">
        <x:v>18</x:v>
      </x:c>
      <x:c r="F4" s="5" t="n">
        <x:v>54</x:v>
      </x:c>
      <x:c r="G4" s="5">
        <x:f>D4+E4+F4</x:f>
        <x:v>82</x:v>
      </x:c>
      <x:c r="H4" s="5">
        <x:f>1+SUMPRODUCT(($C$2:$C$91=C4)*($G$2:$G$91&gt;G4))</x:f>
        <x:v>2</x:v>
      </x:c>
      <x:c r="I4" s="6" t="str">
        <x:f>IF(G4&gt;=70,"A",IF(G4&gt;=60,"B",IF(G4&gt;=50,"C",IF(G4&gt;=40,"D","E"))))</x:f>
        <x:v>A</x:v>
      </x:c>
      <x:c r="J4" s="4" t="str">
        <x:f>IF(G4&gt;=70,"Excellent",IF(G4&gt;=60,"Very Good",IF(G4&gt;=50,"Good",IF(G4&gt;=40,"Fair","Needs Improvement"))))</x:f>
        <x:v>Excellent</x:v>
      </x:c>
      <x:c r="K4" s="9" t="n"/>
      <x:c r="L4" s="9" t="n"/>
      <x:c r="M4" s="9" t="n"/>
      <x:c r="N4" s="9" t="n"/>
      <x:c r="O4" s="9" t="n"/>
      <x:c r="P4" s="9" t="n"/>
    </x:row>
    <x:row r="5">
      <x:c r="A5" s="9" t="n"/>
      <x:c r="B5" s="9" t="n"/>
      <x:c r="C5" s="4" t="inlineStr">
        <x:is>
          <x:t xml:space="preserve">Pre-Vocational Studies</x:t>
        </x:is>
      </x:c>
      <x:c r="D5" s="5" t="n">
        <x:v>4</x:v>
      </x:c>
      <x:c r="E5" s="5" t="n">
        <x:v>12</x:v>
      </x:c>
      <x:c r="F5" s="5" t="n">
        <x:v>40</x:v>
      </x:c>
      <x:c r="G5" s="5">
        <x:f>D5+E5+F5</x:f>
        <x:v>56</x:v>
      </x:c>
      <x:c r="H5" s="5">
        <x:f>1+SUMPRODUCT(($C$2:$C$91=C5)*($G$2:$G$91&gt;G5))</x:f>
        <x:v>8</x:v>
      </x:c>
      <x:c r="I5" s="6" t="str">
        <x:f>IF(G5&gt;=70,"A",IF(G5&gt;=60,"B",IF(G5&gt;=50,"C",IF(G5&gt;=40,"D","E"))))</x:f>
        <x:v>C</x:v>
      </x:c>
      <x:c r="J5" s="4" t="str">
        <x:f>IF(G5&gt;=70,"Excellent",IF(G5&gt;=60,"Very Good",IF(G5&gt;=50,"Good",IF(G5&gt;=40,"Fair","Needs Improvement"))))</x:f>
        <x:v>Good</x:v>
      </x:c>
      <x:c r="K5" s="9" t="n"/>
      <x:c r="L5" s="9" t="n"/>
      <x:c r="M5" s="9" t="n"/>
      <x:c r="N5" s="9" t="n"/>
      <x:c r="O5" s="9" t="n"/>
      <x:c r="P5" s="9" t="n"/>
    </x:row>
    <x:row r="6">
      <x:c r="A6" s="9" t="n"/>
      <x:c r="B6" s="9" t="n"/>
      <x:c r="C6" s="4" t="inlineStr">
        <x:is>
          <x:t xml:space="preserve">National Value</x:t>
        </x:is>
      </x:c>
      <x:c r="D6" s="5" t="n">
        <x:v>9</x:v>
      </x:c>
      <x:c r="E6" s="5" t="n">
        <x:v>10</x:v>
      </x:c>
      <x:c r="F6" s="5" t="n">
        <x:v>61</x:v>
      </x:c>
      <x:c r="G6" s="5">
        <x:f>D6+E6+F6</x:f>
        <x:v>80</x:v>
      </x:c>
      <x:c r="H6" s="5">
        <x:f>1+SUMPRODUCT(($C$2:$C$91=C6)*($G$2:$G$91&gt;G6))</x:f>
        <x:v>2</x:v>
      </x:c>
      <x:c r="I6" s="6" t="str">
        <x:f>IF(G6&gt;=70,"A",IF(G6&gt;=60,"B",IF(G6&gt;=50,"C",IF(G6&gt;=40,"D","E"))))</x:f>
        <x:v>A</x:v>
      </x:c>
      <x:c r="J6" s="4" t="str">
        <x:f>IF(G6&gt;=70,"Excellent",IF(G6&gt;=60,"Very Good",IF(G6&gt;=50,"Good",IF(G6&gt;=40,"Fair","Needs Improvement"))))</x:f>
        <x:v>Excellent</x:v>
      </x:c>
      <x:c r="K6" s="9" t="n"/>
      <x:c r="L6" s="9" t="n"/>
      <x:c r="M6" s="9" t="n"/>
      <x:c r="N6" s="9" t="n"/>
      <x:c r="O6" s="9" t="n"/>
      <x:c r="P6" s="9" t="n"/>
    </x:row>
    <x:row r="7">
      <x:c r="A7" s="9" t="n"/>
      <x:c r="B7" s="9" t="n"/>
      <x:c r="C7" s="4" t="inlineStr">
        <x:is>
          <x:t xml:space="preserve">Business Studies</x:t>
        </x:is>
      </x:c>
      <x:c r="D7" s="5" t="n">
        <x:v>10</x:v>
      </x:c>
      <x:c r="E7" s="5" t="n">
        <x:v>20</x:v>
      </x:c>
      <x:c r="F7" s="5" t="n">
        <x:v>57</x:v>
      </x:c>
      <x:c r="G7" s="5">
        <x:f>D7+E7+F7</x:f>
        <x:v>87</x:v>
      </x:c>
      <x:c r="H7" s="5">
        <x:f>1+SUMPRODUCT(($C$2:$C$91=C7)*($G$2:$G$91&gt;G7))</x:f>
        <x:v>2</x:v>
      </x:c>
      <x:c r="I7" s="6" t="str">
        <x:f>IF(G7&gt;=70,"A",IF(G7&gt;=60,"B",IF(G7&gt;=50,"C",IF(G7&gt;=40,"D","E"))))</x:f>
        <x:v>A</x:v>
      </x:c>
      <x:c r="J7" s="4" t="str">
        <x:f>IF(G7&gt;=70,"Excellent",IF(G7&gt;=60,"Very Good",IF(G7&gt;=50,"Good",IF(G7&gt;=40,"Fair","Needs Improvement"))))</x:f>
        <x:v>Excellent</x:v>
      </x:c>
      <x:c r="K7" s="9" t="n"/>
      <x:c r="L7" s="9" t="n"/>
      <x:c r="M7" s="9" t="n"/>
      <x:c r="N7" s="9" t="n"/>
      <x:c r="O7" s="9" t="n"/>
      <x:c r="P7" s="9" t="n"/>
    </x:row>
    <x:row r="8">
      <x:c r="A8" s="9" t="n"/>
      <x:c r="B8" s="9" t="n"/>
      <x:c r="C8" s="4" t="inlineStr">
        <x:is>
          <x:t xml:space="preserve">Creative and Cultural Art</x:t>
        </x:is>
      </x:c>
      <x:c r="D8" s="5" t="n">
        <x:v>7</x:v>
      </x:c>
      <x:c r="E8" s="5" t="n">
        <x:v>20</x:v>
      </x:c>
      <x:c r="F8" s="5" t="n">
        <x:v>69</x:v>
      </x:c>
      <x:c r="G8" s="5">
        <x:f>D8+E8+F8</x:f>
        <x:v>96</x:v>
      </x:c>
      <x:c r="H8" s="5">
        <x:f>1+SUMPRODUCT(($C$2:$C$91=C8)*($G$2:$G$91&gt;G8))</x:f>
        <x:v>1</x:v>
      </x:c>
      <x:c r="I8" s="6" t="str">
        <x:f>IF(G8&gt;=70,"A",IF(G8&gt;=60,"B",IF(G8&gt;=50,"C",IF(G8&gt;=40,"D","E"))))</x:f>
        <x:v>A</x:v>
      </x:c>
      <x:c r="J8" s="4" t="str">
        <x:f>IF(G8&gt;=70,"Excellent",IF(G8&gt;=60,"Very Good",IF(G8&gt;=50,"Good",IF(G8&gt;=40,"Fair","Needs Improvement"))))</x:f>
        <x:v>Excellent</x:v>
      </x:c>
      <x:c r="K8" s="9" t="n"/>
      <x:c r="L8" s="9" t="n"/>
      <x:c r="M8" s="9" t="n"/>
      <x:c r="N8" s="9" t="n"/>
      <x:c r="O8" s="9" t="n"/>
      <x:c r="P8" s="9" t="n"/>
    </x:row>
    <x:row r="9">
      <x:c r="A9" s="9" t="n"/>
      <x:c r="B9" s="9" t="n"/>
      <x:c r="C9" s="4" t="inlineStr">
        <x:is>
          <x:t xml:space="preserve">Christian Religious Studies</x:t>
        </x:is>
      </x:c>
      <x:c r="D9" s="5" t="n">
        <x:v>10</x:v>
      </x:c>
      <x:c r="E9" s="5" t="n">
        <x:v>12</x:v>
      </x:c>
      <x:c r="F9" s="5" t="n">
        <x:v>61</x:v>
      </x:c>
      <x:c r="G9" s="5">
        <x:f>D9+E9+F9</x:f>
        <x:v>83</x:v>
      </x:c>
      <x:c r="H9" s="5">
        <x:f>1+SUMPRODUCT(($C$2:$C$91=C9)*($G$2:$G$91&gt;G9))</x:f>
        <x:v>4</x:v>
      </x:c>
      <x:c r="I9" s="6" t="str">
        <x:f>IF(G9&gt;=70,"A",IF(G9&gt;=60,"B",IF(G9&gt;=50,"C",IF(G9&gt;=40,"D","E"))))</x:f>
        <x:v>A</x:v>
      </x:c>
      <x:c r="J9" s="4" t="str">
        <x:f>IF(G9&gt;=70,"Excellent",IF(G9&gt;=60,"Very Good",IF(G9&gt;=50,"Good",IF(G9&gt;=40,"Fair","Needs Improvement"))))</x:f>
        <x:v>Excellent</x:v>
      </x:c>
      <x:c r="K9" s="9" t="n"/>
      <x:c r="L9" s="9" t="n"/>
      <x:c r="M9" s="9" t="n"/>
      <x:c r="N9" s="9" t="n"/>
      <x:c r="O9" s="9" t="n"/>
      <x:c r="P9" s="9" t="n"/>
    </x:row>
    <x:row r="10">
      <x:c r="A10" s="10" t="n"/>
      <x:c r="B10" s="10" t="n"/>
      <x:c r="C10" s="4" t="inlineStr">
        <x:is>
          <x:t xml:space="preserve">History Studies</x:t>
        </x:is>
      </x:c>
      <x:c r="D10" s="5" t="n">
        <x:v>10</x:v>
      </x:c>
      <x:c r="E10" s="5" t="n">
        <x:v>19</x:v>
      </x:c>
      <x:c r="F10" s="5" t="n">
        <x:v>61</x:v>
      </x:c>
      <x:c r="G10" s="5">
        <x:f>D10+E10+F10</x:f>
        <x:v>90</x:v>
      </x:c>
      <x:c r="H10" s="5">
        <x:f>1+SUMPRODUCT(($C$2:$C$91=C10)*($G$2:$G$91&gt;G10))</x:f>
        <x:v>1</x:v>
      </x:c>
      <x:c r="I10" s="6" t="str">
        <x:f>IF(G10&gt;=70,"A",IF(G10&gt;=60,"B",IF(G10&gt;=50,"C",IF(G10&gt;=40,"D","E"))))</x:f>
        <x:v>A</x:v>
      </x:c>
      <x:c r="J10" s="4" t="str">
        <x:f>IF(G10&gt;=70,"Excellent",IF(G10&gt;=60,"Very Good",IF(G10&gt;=50,"Good",IF(G10&gt;=40,"Fair","Needs Improvement"))))</x:f>
        <x:v>Excellent</x:v>
      </x:c>
      <x:c r="K10" s="10" t="n"/>
      <x:c r="L10" s="10" t="n"/>
      <x:c r="M10" s="10" t="n"/>
      <x:c r="N10" s="10" t="n"/>
      <x:c r="O10" s="10" t="n"/>
      <x:c r="P10" s="10" t="n"/>
    </x:row>
    <x:row r="11">
      <x:c r="A11" s="2" t="inlineStr">
        <x:is>
          <x:t xml:space="preserve">EIS/2026/0002</x:t>
        </x:is>
      </x:c>
      <x:c r="B11" s="3" t="inlineStr">
        <x:is>
          <x:t xml:space="preserve">Grace Adeyemi</x:t>
        </x:is>
      </x:c>
      <x:c r="C11" s="4" t="inlineStr">
        <x:is>
          <x:t xml:space="preserve">Mathematics</x:t>
        </x:is>
      </x:c>
      <x:c r="D11" s="5" t="n">
        <x:v>3</x:v>
      </x:c>
      <x:c r="E11" s="5" t="n">
        <x:v>11</x:v>
      </x:c>
      <x:c r="F11" s="5" t="n">
        <x:v>33</x:v>
      </x:c>
      <x:c r="G11" s="5">
        <x:f>D11+E11+F11</x:f>
        <x:v>47</x:v>
      </x:c>
      <x:c r="H11" s="5">
        <x:f>1+SUMPRODUCT(($C$2:$C$91=C11)*($G$2:$G$91&gt;G11))</x:f>
        <x:v>9</x:v>
      </x:c>
      <x:c r="I11" s="6" t="str">
        <x:f>IF(G11&gt;=70,"A",IF(G11&gt;=60,"B",IF(G11&gt;=50,"C",IF(G11&gt;=40,"D","E"))))</x:f>
        <x:v>D</x:v>
      </x:c>
      <x:c r="J11" s="4" t="str">
        <x:f>IF(G11&gt;=70,"Excellent",IF(G11&gt;=60,"Very Good",IF(G11&gt;=50,"Good",IF(G11&gt;=40,"Fair","Needs Improvement"))))</x:f>
        <x:v>Fair</x:v>
      </x:c>
      <x:c r="K11" s="7">
        <x:f>SUM(D11:D19)</x:f>
        <x:v>47</x:v>
      </x:c>
      <x:c r="L11" s="7">
        <x:f>SUM(E11:E19)</x:f>
        <x:v>97</x:v>
      </x:c>
      <x:c r="M11" s="7">
        <x:f>SUM(F11:F19)</x:f>
        <x:v>360</x:v>
      </x:c>
      <x:c r="N11" s="7">
        <x:f>SUM(G11:G19)</x:f>
        <x:v>504</x:v>
      </x:c>
      <x:c r="O11" s="8">
        <x:f>ROUND(AVERAGE(G11:G19),2)</x:f>
        <x:v>56</x:v>
      </x:c>
      <x:c r="P11" s="8">
        <x:f>ROUND(AVERAGE($G$2:$G$91),2)</x:f>
        <x:v>67.87</x:v>
      </x:c>
    </x:row>
    <x:row r="12">
      <x:c r="A12" s="9" t="n"/>
      <x:c r="B12" s="9" t="n"/>
      <x:c r="C12" s="4" t="inlineStr">
        <x:is>
          <x:t xml:space="preserve">English Studies</x:t>
        </x:is>
      </x:c>
      <x:c r="D12" s="5" t="n">
        <x:v>5</x:v>
      </x:c>
      <x:c r="E12" s="5" t="n">
        <x:v>6</x:v>
      </x:c>
      <x:c r="F12" s="5" t="n">
        <x:v>29</x:v>
      </x:c>
      <x:c r="G12" s="5">
        <x:f>D12+E12+F12</x:f>
        <x:v>40</x:v>
      </x:c>
      <x:c r="H12" s="5">
        <x:f>1+SUMPRODUCT(($C$2:$C$91=C12)*($G$2:$G$91&gt;G12))</x:f>
        <x:v>9</x:v>
      </x:c>
      <x:c r="I12" s="6" t="str">
        <x:f>IF(G12&gt;=70,"A",IF(G12&gt;=60,"B",IF(G12&gt;=50,"C",IF(G12&gt;=40,"D","E"))))</x:f>
        <x:v>D</x:v>
      </x:c>
      <x:c r="J12" s="4" t="str">
        <x:f>IF(G12&gt;=70,"Excellent",IF(G12&gt;=60,"Very Good",IF(G12&gt;=50,"Good",IF(G12&gt;=40,"Fair","Needs Improvement"))))</x:f>
        <x:v>Fair</x:v>
      </x:c>
      <x:c r="K12" s="9" t="n"/>
      <x:c r="L12" s="9" t="n"/>
      <x:c r="M12" s="9" t="n"/>
      <x:c r="N12" s="9" t="n"/>
      <x:c r="O12" s="9" t="n"/>
      <x:c r="P12" s="9" t="n"/>
    </x:row>
    <x:row r="13">
      <x:c r="A13" s="9" t="n"/>
      <x:c r="B13" s="9" t="n"/>
      <x:c r="C13" s="4" t="inlineStr">
        <x:is>
          <x:t xml:space="preserve">Basic Science and Technology</x:t>
        </x:is>
      </x:c>
      <x:c r="D13" s="5" t="n">
        <x:v>7</x:v>
      </x:c>
      <x:c r="E13" s="5" t="n">
        <x:v>10</x:v>
      </x:c>
      <x:c r="F13" s="5" t="n">
        <x:v>43</x:v>
      </x:c>
      <x:c r="G13" s="5">
        <x:f>D13+E13+F13</x:f>
        <x:v>60</x:v>
      </x:c>
      <x:c r="H13" s="5">
        <x:f>1+SUMPRODUCT(($C$2:$C$91=C13)*($G$2:$G$91&gt;G13))</x:f>
        <x:v>9</x:v>
      </x:c>
      <x:c r="I13" s="6" t="str">
        <x:f>IF(G13&gt;=70,"A",IF(G13&gt;=60,"B",IF(G13&gt;=50,"C",IF(G13&gt;=40,"D","E"))))</x:f>
        <x:v>B</x:v>
      </x:c>
      <x:c r="J13" s="4" t="str">
        <x:f>IF(G13&gt;=70,"Excellent",IF(G13&gt;=60,"Very Good",IF(G13&gt;=50,"Good",IF(G13&gt;=40,"Fair","Needs Improvement"))))</x:f>
        <x:v>Very Good</x:v>
      </x:c>
      <x:c r="K13" s="9" t="n"/>
      <x:c r="L13" s="9" t="n"/>
      <x:c r="M13" s="9" t="n"/>
      <x:c r="N13" s="9" t="n"/>
      <x:c r="O13" s="9" t="n"/>
      <x:c r="P13" s="9" t="n"/>
    </x:row>
    <x:row r="14">
      <x:c r="A14" s="9" t="n"/>
      <x:c r="B14" s="9" t="n"/>
      <x:c r="C14" s="4" t="inlineStr">
        <x:is>
          <x:t xml:space="preserve">Pre-Vocational Studies</x:t>
        </x:is>
      </x:c>
      <x:c r="D14" s="5" t="n">
        <x:v>6</x:v>
      </x:c>
      <x:c r="E14" s="5" t="n">
        <x:v>6</x:v>
      </x:c>
      <x:c r="F14" s="5" t="n">
        <x:v>41</x:v>
      </x:c>
      <x:c r="G14" s="5">
        <x:f>D14+E14+F14</x:f>
        <x:v>53</x:v>
      </x:c>
      <x:c r="H14" s="5">
        <x:f>1+SUMPRODUCT(($C$2:$C$91=C14)*($G$2:$G$91&gt;G14))</x:f>
        <x:v>9</x:v>
      </x:c>
      <x:c r="I14" s="6" t="str">
        <x:f>IF(G14&gt;=70,"A",IF(G14&gt;=60,"B",IF(G14&gt;=50,"C",IF(G14&gt;=40,"D","E"))))</x:f>
        <x:v>C</x:v>
      </x:c>
      <x:c r="J14" s="4" t="str">
        <x:f>IF(G14&gt;=70,"Excellent",IF(G14&gt;=60,"Very Good",IF(G14&gt;=50,"Good",IF(G14&gt;=40,"Fair","Needs Improvement"))))</x:f>
        <x:v>Good</x:v>
      </x:c>
      <x:c r="K14" s="9" t="n"/>
      <x:c r="L14" s="9" t="n"/>
      <x:c r="M14" s="9" t="n"/>
      <x:c r="N14" s="9" t="n"/>
      <x:c r="O14" s="9" t="n"/>
      <x:c r="P14" s="9" t="n"/>
    </x:row>
    <x:row r="15">
      <x:c r="A15" s="9" t="n"/>
      <x:c r="B15" s="9" t="n"/>
      <x:c r="C15" s="4" t="inlineStr">
        <x:is>
          <x:t xml:space="preserve">National Value</x:t>
        </x:is>
      </x:c>
      <x:c r="D15" s="5" t="n">
        <x:v>7</x:v>
      </x:c>
      <x:c r="E15" s="5" t="n">
        <x:v>11</x:v>
      </x:c>
      <x:c r="F15" s="5" t="n">
        <x:v>37</x:v>
      </x:c>
      <x:c r="G15" s="5">
        <x:f>D15+E15+F15</x:f>
        <x:v>55</x:v>
      </x:c>
      <x:c r="H15" s="5">
        <x:f>1+SUMPRODUCT(($C$2:$C$91=C15)*($G$2:$G$91&gt;G15))</x:f>
        <x:v>10</x:v>
      </x:c>
      <x:c r="I15" s="6" t="str">
        <x:f>IF(G15&gt;=70,"A",IF(G15&gt;=60,"B",IF(G15&gt;=50,"C",IF(G15&gt;=40,"D","E"))))</x:f>
        <x:v>C</x:v>
      </x:c>
      <x:c r="J15" s="4" t="str">
        <x:f>IF(G15&gt;=70,"Excellent",IF(G15&gt;=60,"Very Good",IF(G15&gt;=50,"Good",IF(G15&gt;=40,"Fair","Needs Improvement"))))</x:f>
        <x:v>Good</x:v>
      </x:c>
      <x:c r="K15" s="9" t="n"/>
      <x:c r="L15" s="9" t="n"/>
      <x:c r="M15" s="9" t="n"/>
      <x:c r="N15" s="9" t="n"/>
      <x:c r="O15" s="9" t="n"/>
      <x:c r="P15" s="9" t="n"/>
    </x:row>
    <x:row r="16">
      <x:c r="A16" s="9" t="n"/>
      <x:c r="B16" s="9" t="n"/>
      <x:c r="C16" s="4" t="inlineStr">
        <x:is>
          <x:t xml:space="preserve">Business Studies</x:t>
        </x:is>
      </x:c>
      <x:c r="D16" s="5" t="n">
        <x:v>8</x:v>
      </x:c>
      <x:c r="E16" s="5" t="n">
        <x:v>12</x:v>
      </x:c>
      <x:c r="F16" s="5" t="n">
        <x:v>51</x:v>
      </x:c>
      <x:c r="G16" s="5">
        <x:f>D16+E16+F16</x:f>
        <x:v>71</x:v>
      </x:c>
      <x:c r="H16" s="5">
        <x:f>1+SUMPRODUCT(($C$2:$C$91=C16)*($G$2:$G$91&gt;G16))</x:f>
        <x:v>7</x:v>
      </x:c>
      <x:c r="I16" s="6" t="str">
        <x:f>IF(G16&gt;=70,"A",IF(G16&gt;=60,"B",IF(G16&gt;=50,"C",IF(G16&gt;=40,"D","E"))))</x:f>
        <x:v>A</x:v>
      </x:c>
      <x:c r="J16" s="4" t="str">
        <x:f>IF(G16&gt;=70,"Excellent",IF(G16&gt;=60,"Very Good",IF(G16&gt;=50,"Good",IF(G16&gt;=40,"Fair","Needs Improvement"))))</x:f>
        <x:v>Excellent</x:v>
      </x:c>
      <x:c r="K16" s="9" t="n"/>
      <x:c r="L16" s="9" t="n"/>
      <x:c r="M16" s="9" t="n"/>
      <x:c r="N16" s="9" t="n"/>
      <x:c r="O16" s="9" t="n"/>
      <x:c r="P16" s="9" t="n"/>
    </x:row>
    <x:row r="17">
      <x:c r="A17" s="9" t="n"/>
      <x:c r="B17" s="9" t="n"/>
      <x:c r="C17" s="4" t="inlineStr">
        <x:is>
          <x:t xml:space="preserve">Creative and Cultural Art</x:t>
        </x:is>
      </x:c>
      <x:c r="D17" s="5" t="n">
        <x:v>4</x:v>
      </x:c>
      <x:c r="E17" s="5" t="n">
        <x:v>20</x:v>
      </x:c>
      <x:c r="F17" s="5" t="n">
        <x:v>45</x:v>
      </x:c>
      <x:c r="G17" s="5">
        <x:f>D17+E17+F17</x:f>
        <x:v>69</x:v>
      </x:c>
      <x:c r="H17" s="5">
        <x:f>1+SUMPRODUCT(($C$2:$C$91=C17)*($G$2:$G$91&gt;G17))</x:f>
        <x:v>8</x:v>
      </x:c>
      <x:c r="I17" s="6" t="str">
        <x:f>IF(G17&gt;=70,"A",IF(G17&gt;=60,"B",IF(G17&gt;=50,"C",IF(G17&gt;=40,"D","E"))))</x:f>
        <x:v>B</x:v>
      </x:c>
      <x:c r="J17" s="4" t="str">
        <x:f>IF(G17&gt;=70,"Excellent",IF(G17&gt;=60,"Very Good",IF(G17&gt;=50,"Good",IF(G17&gt;=40,"Fair","Needs Improvement"))))</x:f>
        <x:v>Very Good</x:v>
      </x:c>
      <x:c r="K17" s="9" t="n"/>
      <x:c r="L17" s="9" t="n"/>
      <x:c r="M17" s="9" t="n"/>
      <x:c r="N17" s="9" t="n"/>
      <x:c r="O17" s="9" t="n"/>
      <x:c r="P17" s="9" t="n"/>
    </x:row>
    <x:row r="18">
      <x:c r="A18" s="9" t="n"/>
      <x:c r="B18" s="9" t="n"/>
      <x:c r="C18" s="4" t="inlineStr">
        <x:is>
          <x:t xml:space="preserve">Christian Religious Studies</x:t>
        </x:is>
      </x:c>
      <x:c r="D18" s="5" t="n">
        <x:v>3</x:v>
      </x:c>
      <x:c r="E18" s="5" t="n">
        <x:v>9</x:v>
      </x:c>
      <x:c r="F18" s="5" t="n">
        <x:v>41</x:v>
      </x:c>
      <x:c r="G18" s="5">
        <x:f>D18+E18+F18</x:f>
        <x:v>53</x:v>
      </x:c>
      <x:c r="H18" s="5">
        <x:f>1+SUMPRODUCT(($C$2:$C$91=C18)*($G$2:$G$91&gt;G18))</x:f>
        <x:v>8</x:v>
      </x:c>
      <x:c r="I18" s="6" t="str">
        <x:f>IF(G18&gt;=70,"A",IF(G18&gt;=60,"B",IF(G18&gt;=50,"C",IF(G18&gt;=40,"D","E"))))</x:f>
        <x:v>C</x:v>
      </x:c>
      <x:c r="J18" s="4" t="str">
        <x:f>IF(G18&gt;=70,"Excellent",IF(G18&gt;=60,"Very Good",IF(G18&gt;=50,"Good",IF(G18&gt;=40,"Fair","Needs Improvement"))))</x:f>
        <x:v>Good</x:v>
      </x:c>
      <x:c r="K18" s="9" t="n"/>
      <x:c r="L18" s="9" t="n"/>
      <x:c r="M18" s="9" t="n"/>
      <x:c r="N18" s="9" t="n"/>
      <x:c r="O18" s="9" t="n"/>
      <x:c r="P18" s="9" t="n"/>
    </x:row>
    <x:row r="19">
      <x:c r="A19" s="10" t="n"/>
      <x:c r="B19" s="10" t="n"/>
      <x:c r="C19" s="4" t="inlineStr">
        <x:is>
          <x:t xml:space="preserve">History Studies</x:t>
        </x:is>
      </x:c>
      <x:c r="D19" s="5" t="n">
        <x:v>4</x:v>
      </x:c>
      <x:c r="E19" s="5" t="n">
        <x:v>12</x:v>
      </x:c>
      <x:c r="F19" s="5" t="n">
        <x:v>40</x:v>
      </x:c>
      <x:c r="G19" s="5">
        <x:f>D19+E19+F19</x:f>
        <x:v>56</x:v>
      </x:c>
      <x:c r="H19" s="5">
        <x:f>1+SUMPRODUCT(($C$2:$C$91=C19)*($G$2:$G$91&gt;G19))</x:f>
        <x:v>8</x:v>
      </x:c>
      <x:c r="I19" s="6" t="str">
        <x:f>IF(G19&gt;=70,"A",IF(G19&gt;=60,"B",IF(G19&gt;=50,"C",IF(G19&gt;=40,"D","E"))))</x:f>
        <x:v>C</x:v>
      </x:c>
      <x:c r="J19" s="4" t="str">
        <x:f>IF(G19&gt;=70,"Excellent",IF(G19&gt;=60,"Very Good",IF(G19&gt;=50,"Good",IF(G19&gt;=40,"Fair","Needs Improvement"))))</x:f>
        <x:v>Good</x:v>
      </x:c>
      <x:c r="K19" s="10" t="n"/>
      <x:c r="L19" s="10" t="n"/>
      <x:c r="M19" s="10" t="n"/>
      <x:c r="N19" s="10" t="n"/>
      <x:c r="O19" s="10" t="n"/>
      <x:c r="P19" s="10" t="n"/>
    </x:row>
    <x:row r="20">
      <x:c r="A20" s="2" t="inlineStr">
        <x:is>
          <x:t xml:space="preserve">EIS/2026/0003</x:t>
        </x:is>
      </x:c>
      <x:c r="B20" s="3" t="inlineStr">
        <x:is>
          <x:t xml:space="preserve">Samuel Akpan</x:t>
        </x:is>
      </x:c>
      <x:c r="C20" s="4" t="inlineStr">
        <x:is>
          <x:t xml:space="preserve">Mathematics</x:t>
        </x:is>
      </x:c>
      <x:c r="D20" s="5" t="n">
        <x:v>6</x:v>
      </x:c>
      <x:c r="E20" s="5" t="n">
        <x:v>15</x:v>
      </x:c>
      <x:c r="F20" s="5" t="n">
        <x:v>50</x:v>
      </x:c>
      <x:c r="G20" s="5">
        <x:f>D20+E20+F20</x:f>
        <x:v>71</x:v>
      </x:c>
      <x:c r="H20" s="5">
        <x:f>1+SUMPRODUCT(($C$2:$C$91=C20)*($G$2:$G$91&gt;G20))</x:f>
        <x:v>2</x:v>
      </x:c>
      <x:c r="I20" s="6" t="str">
        <x:f>IF(G20&gt;=70,"A",IF(G20&gt;=60,"B",IF(G20&gt;=50,"C",IF(G20&gt;=40,"D","E"))))</x:f>
        <x:v>A</x:v>
      </x:c>
      <x:c r="J20" s="4" t="str">
        <x:f>IF(G20&gt;=70,"Excellent",IF(G20&gt;=60,"Very Good",IF(G20&gt;=50,"Good",IF(G20&gt;=40,"Fair","Needs Improvement"))))</x:f>
        <x:v>Excellent</x:v>
      </x:c>
      <x:c r="K20" s="7">
        <x:f>SUM(D20:D28)</x:f>
        <x:v>71</x:v>
      </x:c>
      <x:c r="L20" s="7">
        <x:f>SUM(E20:E28)</x:f>
        <x:v>149</x:v>
      </x:c>
      <x:c r="M20" s="7">
        <x:f>SUM(F20:F28)</x:f>
        <x:v>479</x:v>
      </x:c>
      <x:c r="N20" s="7">
        <x:f>SUM(G20:G28)</x:f>
        <x:v>699</x:v>
      </x:c>
      <x:c r="O20" s="8">
        <x:f>ROUND(AVERAGE(G20:G28),2)</x:f>
        <x:v>77.67</x:v>
      </x:c>
      <x:c r="P20" s="8">
        <x:f>ROUND(AVERAGE($G$2:$G$91),2)</x:f>
        <x:v>67.87</x:v>
      </x:c>
    </x:row>
    <x:row r="21">
      <x:c r="A21" s="9" t="n"/>
      <x:c r="B21" s="9" t="n"/>
      <x:c r="C21" s="4" t="inlineStr">
        <x:is>
          <x:t xml:space="preserve">English Studies</x:t>
        </x:is>
      </x:c>
      <x:c r="D21" s="5" t="n">
        <x:v>9</x:v>
      </x:c>
      <x:c r="E21" s="5" t="n">
        <x:v>19</x:v>
      </x:c>
      <x:c r="F21" s="5" t="n">
        <x:v>50</x:v>
      </x:c>
      <x:c r="G21" s="5">
        <x:f>D21+E21+F21</x:f>
        <x:v>78</x:v>
      </x:c>
      <x:c r="H21" s="5">
        <x:f>1+SUMPRODUCT(($C$2:$C$91=C21)*($G$2:$G$91&gt;G21))</x:f>
        <x:v>3</x:v>
      </x:c>
      <x:c r="I21" s="6" t="str">
        <x:f>IF(G21&gt;=70,"A",IF(G21&gt;=60,"B",IF(G21&gt;=50,"C",IF(G21&gt;=40,"D","E"))))</x:f>
        <x:v>A</x:v>
      </x:c>
      <x:c r="J21" s="4" t="str">
        <x:f>IF(G21&gt;=70,"Excellent",IF(G21&gt;=60,"Very Good",IF(G21&gt;=50,"Good",IF(G21&gt;=40,"Fair","Needs Improvement"))))</x:f>
        <x:v>Excellent</x:v>
      </x:c>
      <x:c r="K21" s="9" t="n"/>
      <x:c r="L21" s="9" t="n"/>
      <x:c r="M21" s="9" t="n"/>
      <x:c r="N21" s="9" t="n"/>
      <x:c r="O21" s="9" t="n"/>
      <x:c r="P21" s="9" t="n"/>
    </x:row>
    <x:row r="22">
      <x:c r="A22" s="9" t="n"/>
      <x:c r="B22" s="9" t="n"/>
      <x:c r="C22" s="4" t="inlineStr">
        <x:is>
          <x:t xml:space="preserve">Basic Science and Technology</x:t>
        </x:is>
      </x:c>
      <x:c r="D22" s="5" t="n">
        <x:v>10</x:v>
      </x:c>
      <x:c r="E22" s="5" t="n">
        <x:v>20</x:v>
      </x:c>
      <x:c r="F22" s="5" t="n">
        <x:v>53</x:v>
      </x:c>
      <x:c r="G22" s="5">
        <x:f>D22+E22+F22</x:f>
        <x:v>83</x:v>
      </x:c>
      <x:c r="H22" s="5">
        <x:f>1+SUMPRODUCT(($C$2:$C$91=C22)*($G$2:$G$91&gt;G22))</x:f>
        <x:v>1</x:v>
      </x:c>
      <x:c r="I22" s="6" t="str">
        <x:f>IF(G22&gt;=70,"A",IF(G22&gt;=60,"B",IF(G22&gt;=50,"C",IF(G22&gt;=40,"D","E"))))</x:f>
        <x:v>A</x:v>
      </x:c>
      <x:c r="J22" s="4" t="str">
        <x:f>IF(G22&gt;=70,"Excellent",IF(G22&gt;=60,"Very Good",IF(G22&gt;=50,"Good",IF(G22&gt;=40,"Fair","Needs Improvement"))))</x:f>
        <x:v>Excellent</x:v>
      </x:c>
      <x:c r="K22" s="9" t="n"/>
      <x:c r="L22" s="9" t="n"/>
      <x:c r="M22" s="9" t="n"/>
      <x:c r="N22" s="9" t="n"/>
      <x:c r="O22" s="9" t="n"/>
      <x:c r="P22" s="9" t="n"/>
    </x:row>
    <x:row r="23">
      <x:c r="A23" s="9" t="n"/>
      <x:c r="B23" s="9" t="n"/>
      <x:c r="C23" s="4" t="inlineStr">
        <x:is>
          <x:t xml:space="preserve">Pre-Vocational Studies</x:t>
        </x:is>
      </x:c>
      <x:c r="D23" s="5" t="n">
        <x:v>5</x:v>
      </x:c>
      <x:c r="E23" s="5" t="n">
        <x:v>17</x:v>
      </x:c>
      <x:c r="F23" s="5" t="n">
        <x:v>50</x:v>
      </x:c>
      <x:c r="G23" s="5">
        <x:f>D23+E23+F23</x:f>
        <x:v>72</x:v>
      </x:c>
      <x:c r="H23" s="5">
        <x:f>1+SUMPRODUCT(($C$2:$C$91=C23)*($G$2:$G$91&gt;G23))</x:f>
        <x:v>3</x:v>
      </x:c>
      <x:c r="I23" s="6" t="str">
        <x:f>IF(G23&gt;=70,"A",IF(G23&gt;=60,"B",IF(G23&gt;=50,"C",IF(G23&gt;=40,"D","E"))))</x:f>
        <x:v>A</x:v>
      </x:c>
      <x:c r="J23" s="4" t="str">
        <x:f>IF(G23&gt;=70,"Excellent",IF(G23&gt;=60,"Very Good",IF(G23&gt;=50,"Good",IF(G23&gt;=40,"Fair","Needs Improvement"))))</x:f>
        <x:v>Excellent</x:v>
      </x:c>
      <x:c r="K23" s="9" t="n"/>
      <x:c r="L23" s="9" t="n"/>
      <x:c r="M23" s="9" t="n"/>
      <x:c r="N23" s="9" t="n"/>
      <x:c r="O23" s="9" t="n"/>
      <x:c r="P23" s="9" t="n"/>
    </x:row>
    <x:row r="24">
      <x:c r="A24" s="9" t="n"/>
      <x:c r="B24" s="9" t="n"/>
      <x:c r="C24" s="4" t="inlineStr">
        <x:is>
          <x:t xml:space="preserve">National Value</x:t>
        </x:is>
      </x:c>
      <x:c r="D24" s="5" t="n">
        <x:v>10</x:v>
      </x:c>
      <x:c r="E24" s="5" t="n">
        <x:v>19</x:v>
      </x:c>
      <x:c r="F24" s="5" t="n">
        <x:v>57</x:v>
      </x:c>
      <x:c r="G24" s="5">
        <x:f>D24+E24+F24</x:f>
        <x:v>86</x:v>
      </x:c>
      <x:c r="H24" s="5">
        <x:f>1+SUMPRODUCT(($C$2:$C$91=C24)*($G$2:$G$91&gt;G24))</x:f>
        <x:v>1</x:v>
      </x:c>
      <x:c r="I24" s="6" t="str">
        <x:f>IF(G24&gt;=70,"A",IF(G24&gt;=60,"B",IF(G24&gt;=50,"C",IF(G24&gt;=40,"D","E"))))</x:f>
        <x:v>A</x:v>
      </x:c>
      <x:c r="J24" s="4" t="str">
        <x:f>IF(G24&gt;=70,"Excellent",IF(G24&gt;=60,"Very Good",IF(G24&gt;=50,"Good",IF(G24&gt;=40,"Fair","Needs Improvement"))))</x:f>
        <x:v>Excellent</x:v>
      </x:c>
      <x:c r="K24" s="9" t="n"/>
      <x:c r="L24" s="9" t="n"/>
      <x:c r="M24" s="9" t="n"/>
      <x:c r="N24" s="9" t="n"/>
      <x:c r="O24" s="9" t="n"/>
      <x:c r="P24" s="9" t="n"/>
    </x:row>
    <x:row r="25">
      <x:c r="A25" s="9" t="n"/>
      <x:c r="B25" s="9" t="n"/>
      <x:c r="C25" s="4" t="inlineStr">
        <x:is>
          <x:t xml:space="preserve">Business Studies</x:t>
        </x:is>
      </x:c>
      <x:c r="D25" s="5" t="n">
        <x:v>10</x:v>
      </x:c>
      <x:c r="E25" s="5" t="n">
        <x:v>10</x:v>
      </x:c>
      <x:c r="F25" s="5" t="n">
        <x:v>54</x:v>
      </x:c>
      <x:c r="G25" s="5">
        <x:f>D25+E25+F25</x:f>
        <x:v>74</x:v>
      </x:c>
      <x:c r="H25" s="5">
        <x:f>1+SUMPRODUCT(($C$2:$C$91=C25)*($G$2:$G$91&gt;G25))</x:f>
        <x:v>5</x:v>
      </x:c>
      <x:c r="I25" s="6" t="str">
        <x:f>IF(G25&gt;=70,"A",IF(G25&gt;=60,"B",IF(G25&gt;=50,"C",IF(G25&gt;=40,"D","E"))))</x:f>
        <x:v>A</x:v>
      </x:c>
      <x:c r="J25" s="4" t="str">
        <x:f>IF(G25&gt;=70,"Excellent",IF(G25&gt;=60,"Very Good",IF(G25&gt;=50,"Good",IF(G25&gt;=40,"Fair","Needs Improvement"))))</x:f>
        <x:v>Excellent</x:v>
      </x:c>
      <x:c r="K25" s="9" t="n"/>
      <x:c r="L25" s="9" t="n"/>
      <x:c r="M25" s="9" t="n"/>
      <x:c r="N25" s="9" t="n"/>
      <x:c r="O25" s="9" t="n"/>
      <x:c r="P25" s="9" t="n"/>
    </x:row>
    <x:row r="26">
      <x:c r="A26" s="9" t="n"/>
      <x:c r="B26" s="9" t="n"/>
      <x:c r="C26" s="4" t="inlineStr">
        <x:is>
          <x:t xml:space="preserve">Creative and Cultural Art</x:t>
        </x:is>
      </x:c>
      <x:c r="D26" s="5" t="n">
        <x:v>10</x:v>
      </x:c>
      <x:c r="E26" s="5" t="n">
        <x:v>15</x:v>
      </x:c>
      <x:c r="F26" s="5" t="n">
        <x:v>47</x:v>
      </x:c>
      <x:c r="G26" s="5">
        <x:f>D26+E26+F26</x:f>
        <x:v>72</x:v>
      </x:c>
      <x:c r="H26" s="5">
        <x:f>1+SUMPRODUCT(($C$2:$C$91=C26)*($G$2:$G$91&gt;G26))</x:f>
        <x:v>4</x:v>
      </x:c>
      <x:c r="I26" s="6" t="str">
        <x:f>IF(G26&gt;=70,"A",IF(G26&gt;=60,"B",IF(G26&gt;=50,"C",IF(G26&gt;=40,"D","E"))))</x:f>
        <x:v>A</x:v>
      </x:c>
      <x:c r="J26" s="4" t="str">
        <x:f>IF(G26&gt;=70,"Excellent",IF(G26&gt;=60,"Very Good",IF(G26&gt;=50,"Good",IF(G26&gt;=40,"Fair","Needs Improvement"))))</x:f>
        <x:v>Excellent</x:v>
      </x:c>
      <x:c r="K26" s="9" t="n"/>
      <x:c r="L26" s="9" t="n"/>
      <x:c r="M26" s="9" t="n"/>
      <x:c r="N26" s="9" t="n"/>
      <x:c r="O26" s="9" t="n"/>
      <x:c r="P26" s="9" t="n"/>
    </x:row>
    <x:row r="27">
      <x:c r="A27" s="9" t="n"/>
      <x:c r="B27" s="9" t="n"/>
      <x:c r="C27" s="4" t="inlineStr">
        <x:is>
          <x:t xml:space="preserve">Christian Religious Studies</x:t>
        </x:is>
      </x:c>
      <x:c r="D27" s="5" t="n">
        <x:v>5</x:v>
      </x:c>
      <x:c r="E27" s="5" t="n">
        <x:v>14</x:v>
      </x:c>
      <x:c r="F27" s="5" t="n">
        <x:v>57</x:v>
      </x:c>
      <x:c r="G27" s="5">
        <x:f>D27+E27+F27</x:f>
        <x:v>76</x:v>
      </x:c>
      <x:c r="H27" s="5">
        <x:f>1+SUMPRODUCT(($C$2:$C$91=C27)*($G$2:$G$91&gt;G27))</x:f>
        <x:v>5</x:v>
      </x:c>
      <x:c r="I27" s="6" t="str">
        <x:f>IF(G27&gt;=70,"A",IF(G27&gt;=60,"B",IF(G27&gt;=50,"C",IF(G27&gt;=40,"D","E"))))</x:f>
        <x:v>A</x:v>
      </x:c>
      <x:c r="J27" s="4" t="str">
        <x:f>IF(G27&gt;=70,"Excellent",IF(G27&gt;=60,"Very Good",IF(G27&gt;=50,"Good",IF(G27&gt;=40,"Fair","Needs Improvement"))))</x:f>
        <x:v>Excellent</x:v>
      </x:c>
      <x:c r="K27" s="9" t="n"/>
      <x:c r="L27" s="9" t="n"/>
      <x:c r="M27" s="9" t="n"/>
      <x:c r="N27" s="9" t="n"/>
      <x:c r="O27" s="9" t="n"/>
      <x:c r="P27" s="9" t="n"/>
    </x:row>
    <x:row r="28">
      <x:c r="A28" s="10" t="n"/>
      <x:c r="B28" s="10" t="n"/>
      <x:c r="C28" s="4" t="inlineStr">
        <x:is>
          <x:t xml:space="preserve">History Studies</x:t>
        </x:is>
      </x:c>
      <x:c r="D28" s="5" t="n">
        <x:v>6</x:v>
      </x:c>
      <x:c r="E28" s="5" t="n">
        <x:v>20</x:v>
      </x:c>
      <x:c r="F28" s="5" t="n">
        <x:v>61</x:v>
      </x:c>
      <x:c r="G28" s="5">
        <x:f>D28+E28+F28</x:f>
        <x:v>87</x:v>
      </x:c>
      <x:c r="H28" s="5">
        <x:f>1+SUMPRODUCT(($C$2:$C$91=C28)*($G$2:$G$91&gt;G28))</x:f>
        <x:v>2</x:v>
      </x:c>
      <x:c r="I28" s="6" t="str">
        <x:f>IF(G28&gt;=70,"A",IF(G28&gt;=60,"B",IF(G28&gt;=50,"C",IF(G28&gt;=40,"D","E"))))</x:f>
        <x:v>A</x:v>
      </x:c>
      <x:c r="J28" s="4" t="str">
        <x:f>IF(G28&gt;=70,"Excellent",IF(G28&gt;=60,"Very Good",IF(G28&gt;=50,"Good",IF(G28&gt;=40,"Fair","Needs Improvement"))))</x:f>
        <x:v>Excellent</x:v>
      </x:c>
      <x:c r="K28" s="10" t="n"/>
      <x:c r="L28" s="10" t="n"/>
      <x:c r="M28" s="10" t="n"/>
      <x:c r="N28" s="10" t="n"/>
      <x:c r="O28" s="10" t="n"/>
      <x:c r="P28" s="10" t="n"/>
    </x:row>
    <x:row r="29">
      <x:c r="A29" s="2" t="inlineStr">
        <x:is>
          <x:t xml:space="preserve">EIS/2026/0004</x:t>
        </x:is>
      </x:c>
      <x:c r="B29" s="3" t="inlineStr">
        <x:is>
          <x:t xml:space="preserve">Esther Eze</x:t>
        </x:is>
      </x:c>
      <x:c r="C29" s="4" t="inlineStr">
        <x:is>
          <x:t xml:space="preserve">Mathematics</x:t>
        </x:is>
      </x:c>
      <x:c r="D29" s="5" t="n">
        <x:v>5</x:v>
      </x:c>
      <x:c r="E29" s="5" t="n">
        <x:v>12</x:v>
      </x:c>
      <x:c r="F29" s="5" t="n">
        <x:v>53</x:v>
      </x:c>
      <x:c r="G29" s="5">
        <x:f>D29+E29+F29</x:f>
        <x:v>70</x:v>
      </x:c>
      <x:c r="H29" s="5">
        <x:f>1+SUMPRODUCT(($C$2:$C$91=C29)*($G$2:$G$91&gt;G29))</x:f>
        <x:v>3</x:v>
      </x:c>
      <x:c r="I29" s="6" t="str">
        <x:f>IF(G29&gt;=70,"A",IF(G29&gt;=60,"B",IF(G29&gt;=50,"C",IF(G29&gt;=40,"D","E"))))</x:f>
        <x:v>A</x:v>
      </x:c>
      <x:c r="J29" s="4" t="str">
        <x:f>IF(G29&gt;=70,"Excellent",IF(G29&gt;=60,"Very Good",IF(G29&gt;=50,"Good",IF(G29&gt;=40,"Fair","Needs Improvement"))))</x:f>
        <x:v>Excellent</x:v>
      </x:c>
      <x:c r="K29" s="7">
        <x:f>SUM(D29:D37)</x:f>
        <x:v>70</x:v>
      </x:c>
      <x:c r="L29" s="7">
        <x:f>SUM(E29:E37)</x:f>
        <x:v>127</x:v>
      </x:c>
      <x:c r="M29" s="7">
        <x:f>SUM(F29:F37)</x:f>
        <x:v>450</x:v>
      </x:c>
      <x:c r="N29" s="7">
        <x:f>SUM(G29:G37)</x:f>
        <x:v>647</x:v>
      </x:c>
      <x:c r="O29" s="8">
        <x:f>ROUND(AVERAGE(G29:G37),2)</x:f>
        <x:v>71.89</x:v>
      </x:c>
      <x:c r="P29" s="8">
        <x:f>ROUND(AVERAGE($G$2:$G$91),2)</x:f>
        <x:v>67.87</x:v>
      </x:c>
    </x:row>
    <x:row r="30">
      <x:c r="A30" s="9" t="n"/>
      <x:c r="B30" s="9" t="n"/>
      <x:c r="C30" s="4" t="inlineStr">
        <x:is>
          <x:t xml:space="preserve">English Studies</x:t>
        </x:is>
      </x:c>
      <x:c r="D30" s="5" t="n">
        <x:v>8</x:v>
      </x:c>
      <x:c r="E30" s="5" t="n">
        <x:v>15</x:v>
      </x:c>
      <x:c r="F30" s="5" t="n">
        <x:v>42</x:v>
      </x:c>
      <x:c r="G30" s="5">
        <x:f>D30+E30+F30</x:f>
        <x:v>65</x:v>
      </x:c>
      <x:c r="H30" s="5">
        <x:f>1+SUMPRODUCT(($C$2:$C$91=C30)*($G$2:$G$91&gt;G30))</x:f>
        <x:v>7</x:v>
      </x:c>
      <x:c r="I30" s="6" t="str">
        <x:f>IF(G30&gt;=70,"A",IF(G30&gt;=60,"B",IF(G30&gt;=50,"C",IF(G30&gt;=40,"D","E"))))</x:f>
        <x:v>B</x:v>
      </x:c>
      <x:c r="J30" s="4" t="str">
        <x:f>IF(G30&gt;=70,"Excellent",IF(G30&gt;=60,"Very Good",IF(G30&gt;=50,"Good",IF(G30&gt;=40,"Fair","Needs Improvement"))))</x:f>
        <x:v>Very Good</x:v>
      </x:c>
      <x:c r="K30" s="9" t="n"/>
      <x:c r="L30" s="9" t="n"/>
      <x:c r="M30" s="9" t="n"/>
      <x:c r="N30" s="9" t="n"/>
      <x:c r="O30" s="9" t="n"/>
      <x:c r="P30" s="9" t="n"/>
    </x:row>
    <x:row r="31">
      <x:c r="A31" s="9" t="n"/>
      <x:c r="B31" s="9" t="n"/>
      <x:c r="C31" s="4" t="inlineStr">
        <x:is>
          <x:t xml:space="preserve">Basic Science and Technology</x:t>
        </x:is>
      </x:c>
      <x:c r="D31" s="5" t="n">
        <x:v>9</x:v>
      </x:c>
      <x:c r="E31" s="5" t="n">
        <x:v>19</x:v>
      </x:c>
      <x:c r="F31" s="5" t="n">
        <x:v>51</x:v>
      </x:c>
      <x:c r="G31" s="5">
        <x:f>D31+E31+F31</x:f>
        <x:v>79</x:v>
      </x:c>
      <x:c r="H31" s="5">
        <x:f>1+SUMPRODUCT(($C$2:$C$91=C31)*($G$2:$G$91&gt;G31))</x:f>
        <x:v>3</x:v>
      </x:c>
      <x:c r="I31" s="6" t="str">
        <x:f>IF(G31&gt;=70,"A",IF(G31&gt;=60,"B",IF(G31&gt;=50,"C",IF(G31&gt;=40,"D","E"))))</x:f>
        <x:v>A</x:v>
      </x:c>
      <x:c r="J31" s="4" t="str">
        <x:f>IF(G31&gt;=70,"Excellent",IF(G31&gt;=60,"Very Good",IF(G31&gt;=50,"Good",IF(G31&gt;=40,"Fair","Needs Improvement"))))</x:f>
        <x:v>Excellent</x:v>
      </x:c>
      <x:c r="K31" s="9" t="n"/>
      <x:c r="L31" s="9" t="n"/>
      <x:c r="M31" s="9" t="n"/>
      <x:c r="N31" s="9" t="n"/>
      <x:c r="O31" s="9" t="n"/>
      <x:c r="P31" s="9" t="n"/>
    </x:row>
    <x:row r="32">
      <x:c r="A32" s="9" t="n"/>
      <x:c r="B32" s="9" t="n"/>
      <x:c r="C32" s="4" t="inlineStr">
        <x:is>
          <x:t xml:space="preserve">Pre-Vocational Studies</x:t>
        </x:is>
      </x:c>
      <x:c r="D32" s="5" t="n">
        <x:v>6</x:v>
      </x:c>
      <x:c r="E32" s="5" t="n">
        <x:v>12</x:v>
      </x:c>
      <x:c r="F32" s="5" t="n">
        <x:v>54</x:v>
      </x:c>
      <x:c r="G32" s="5">
        <x:f>D32+E32+F32</x:f>
        <x:v>72</x:v>
      </x:c>
      <x:c r="H32" s="5">
        <x:f>1+SUMPRODUCT(($C$2:$C$91=C32)*($G$2:$G$91&gt;G32))</x:f>
        <x:v>3</x:v>
      </x:c>
      <x:c r="I32" s="6" t="str">
        <x:f>IF(G32&gt;=70,"A",IF(G32&gt;=60,"B",IF(G32&gt;=50,"C",IF(G32&gt;=40,"D","E"))))</x:f>
        <x:v>A</x:v>
      </x:c>
      <x:c r="J32" s="4" t="str">
        <x:f>IF(G32&gt;=70,"Excellent",IF(G32&gt;=60,"Very Good",IF(G32&gt;=50,"Good",IF(G32&gt;=40,"Fair","Needs Improvement"))))</x:f>
        <x:v>Excellent</x:v>
      </x:c>
      <x:c r="K32" s="9" t="n"/>
      <x:c r="L32" s="9" t="n"/>
      <x:c r="M32" s="9" t="n"/>
      <x:c r="N32" s="9" t="n"/>
      <x:c r="O32" s="9" t="n"/>
      <x:c r="P32" s="9" t="n"/>
    </x:row>
    <x:row r="33">
      <x:c r="A33" s="9" t="n"/>
      <x:c r="B33" s="9" t="n"/>
      <x:c r="C33" s="4" t="inlineStr">
        <x:is>
          <x:t xml:space="preserve">National Value</x:t>
        </x:is>
      </x:c>
      <x:c r="D33" s="5" t="n">
        <x:v>6</x:v>
      </x:c>
      <x:c r="E33" s="5" t="n">
        <x:v>9</x:v>
      </x:c>
      <x:c r="F33" s="5" t="n">
        <x:v>53</x:v>
      </x:c>
      <x:c r="G33" s="5">
        <x:f>D33+E33+F33</x:f>
        <x:v>68</x:v>
      </x:c>
      <x:c r="H33" s="5">
        <x:f>1+SUMPRODUCT(($C$2:$C$91=C33)*($G$2:$G$91&gt;G33))</x:f>
        <x:v>8</x:v>
      </x:c>
      <x:c r="I33" s="6" t="str">
        <x:f>IF(G33&gt;=70,"A",IF(G33&gt;=60,"B",IF(G33&gt;=50,"C",IF(G33&gt;=40,"D","E"))))</x:f>
        <x:v>B</x:v>
      </x:c>
      <x:c r="J33" s="4" t="str">
        <x:f>IF(G33&gt;=70,"Excellent",IF(G33&gt;=60,"Very Good",IF(G33&gt;=50,"Good",IF(G33&gt;=40,"Fair","Needs Improvement"))))</x:f>
        <x:v>Very Good</x:v>
      </x:c>
      <x:c r="K33" s="9" t="n"/>
      <x:c r="L33" s="9" t="n"/>
      <x:c r="M33" s="9" t="n"/>
      <x:c r="N33" s="9" t="n"/>
      <x:c r="O33" s="9" t="n"/>
      <x:c r="P33" s="9" t="n"/>
    </x:row>
    <x:row r="34">
      <x:c r="A34" s="9" t="n"/>
      <x:c r="B34" s="9" t="n"/>
      <x:c r="C34" s="4" t="inlineStr">
        <x:is>
          <x:t xml:space="preserve">Business Studies</x:t>
        </x:is>
      </x:c>
      <x:c r="D34" s="5" t="n">
        <x:v>10</x:v>
      </x:c>
      <x:c r="E34" s="5" t="n">
        <x:v>12</x:v>
      </x:c>
      <x:c r="F34" s="5" t="n">
        <x:v>50</x:v>
      </x:c>
      <x:c r="G34" s="5">
        <x:f>D34+E34+F34</x:f>
        <x:v>72</x:v>
      </x:c>
      <x:c r="H34" s="5">
        <x:f>1+SUMPRODUCT(($C$2:$C$91=C34)*($G$2:$G$91&gt;G34))</x:f>
        <x:v>6</x:v>
      </x:c>
      <x:c r="I34" s="6" t="str">
        <x:f>IF(G34&gt;=70,"A",IF(G34&gt;=60,"B",IF(G34&gt;=50,"C",IF(G34&gt;=40,"D","E"))))</x:f>
        <x:v>A</x:v>
      </x:c>
      <x:c r="J34" s="4" t="str">
        <x:f>IF(G34&gt;=70,"Excellent",IF(G34&gt;=60,"Very Good",IF(G34&gt;=50,"Good",IF(G34&gt;=40,"Fair","Needs Improvement"))))</x:f>
        <x:v>Excellent</x:v>
      </x:c>
      <x:c r="K34" s="9" t="n"/>
      <x:c r="L34" s="9" t="n"/>
      <x:c r="M34" s="9" t="n"/>
      <x:c r="N34" s="9" t="n"/>
      <x:c r="O34" s="9" t="n"/>
      <x:c r="P34" s="9" t="n"/>
    </x:row>
    <x:row r="35">
      <x:c r="A35" s="9" t="n"/>
      <x:c r="B35" s="9" t="n"/>
      <x:c r="C35" s="4" t="inlineStr">
        <x:is>
          <x:t xml:space="preserve">Creative and Cultural Art</x:t>
        </x:is>
      </x:c>
      <x:c r="D35" s="5" t="n">
        <x:v>10</x:v>
      </x:c>
      <x:c r="E35" s="5" t="n">
        <x:v>18</x:v>
      </x:c>
      <x:c r="F35" s="5" t="n">
        <x:v>42</x:v>
      </x:c>
      <x:c r="G35" s="5">
        <x:f>D35+E35+F35</x:f>
        <x:v>70</x:v>
      </x:c>
      <x:c r="H35" s="5">
        <x:f>1+SUMPRODUCT(($C$2:$C$91=C35)*($G$2:$G$91&gt;G35))</x:f>
        <x:v>6</x:v>
      </x:c>
      <x:c r="I35" s="6" t="str">
        <x:f>IF(G35&gt;=70,"A",IF(G35&gt;=60,"B",IF(G35&gt;=50,"C",IF(G35&gt;=40,"D","E"))))</x:f>
        <x:v>A</x:v>
      </x:c>
      <x:c r="J35" s="4" t="str">
        <x:f>IF(G35&gt;=70,"Excellent",IF(G35&gt;=60,"Very Good",IF(G35&gt;=50,"Good",IF(G35&gt;=40,"Fair","Needs Improvement"))))</x:f>
        <x:v>Excellent</x:v>
      </x:c>
      <x:c r="K35" s="9" t="n"/>
      <x:c r="L35" s="9" t="n"/>
      <x:c r="M35" s="9" t="n"/>
      <x:c r="N35" s="9" t="n"/>
      <x:c r="O35" s="9" t="n"/>
      <x:c r="P35" s="9" t="n"/>
    </x:row>
    <x:row r="36">
      <x:c r="A36" s="9" t="n"/>
      <x:c r="B36" s="9" t="n"/>
      <x:c r="C36" s="4" t="inlineStr">
        <x:is>
          <x:t xml:space="preserve">Christian Religious Studies</x:t>
        </x:is>
      </x:c>
      <x:c r="D36" s="5" t="n">
        <x:v>7</x:v>
      </x:c>
      <x:c r="E36" s="5" t="n">
        <x:v>16</x:v>
      </x:c>
      <x:c r="F36" s="5" t="n">
        <x:v>45</x:v>
      </x:c>
      <x:c r="G36" s="5">
        <x:f>D36+E36+F36</x:f>
        <x:v>68</x:v>
      </x:c>
      <x:c r="H36" s="5">
        <x:f>1+SUMPRODUCT(($C$2:$C$91=C36)*($G$2:$G$91&gt;G36))</x:f>
        <x:v>6</x:v>
      </x:c>
      <x:c r="I36" s="6" t="str">
        <x:f>IF(G36&gt;=70,"A",IF(G36&gt;=60,"B",IF(G36&gt;=50,"C",IF(G36&gt;=40,"D","E"))))</x:f>
        <x:v>B</x:v>
      </x:c>
      <x:c r="J36" s="4" t="str">
        <x:f>IF(G36&gt;=70,"Excellent",IF(G36&gt;=60,"Very Good",IF(G36&gt;=50,"Good",IF(G36&gt;=40,"Fair","Needs Improvement"))))</x:f>
        <x:v>Very Good</x:v>
      </x:c>
      <x:c r="K36" s="9" t="n"/>
      <x:c r="L36" s="9" t="n"/>
      <x:c r="M36" s="9" t="n"/>
      <x:c r="N36" s="9" t="n"/>
      <x:c r="O36" s="9" t="n"/>
      <x:c r="P36" s="9" t="n"/>
    </x:row>
    <x:row r="37">
      <x:c r="A37" s="10" t="n"/>
      <x:c r="B37" s="10" t="n"/>
      <x:c r="C37" s="4" t="inlineStr">
        <x:is>
          <x:t xml:space="preserve">History Studies</x:t>
        </x:is>
      </x:c>
      <x:c r="D37" s="5" t="n">
        <x:v>9</x:v>
      </x:c>
      <x:c r="E37" s="5" t="n">
        <x:v>14</x:v>
      </x:c>
      <x:c r="F37" s="5" t="n">
        <x:v>60</x:v>
      </x:c>
      <x:c r="G37" s="5">
        <x:f>D37+E37+F37</x:f>
        <x:v>83</x:v>
      </x:c>
      <x:c r="H37" s="5">
        <x:f>1+SUMPRODUCT(($C$2:$C$91=C37)*($G$2:$G$91&gt;G37))</x:f>
        <x:v>3</x:v>
      </x:c>
      <x:c r="I37" s="6" t="str">
        <x:f>IF(G37&gt;=70,"A",IF(G37&gt;=60,"B",IF(G37&gt;=50,"C",IF(G37&gt;=40,"D","E"))))</x:f>
        <x:v>A</x:v>
      </x:c>
      <x:c r="J37" s="4" t="str">
        <x:f>IF(G37&gt;=70,"Excellent",IF(G37&gt;=60,"Very Good",IF(G37&gt;=50,"Good",IF(G37&gt;=40,"Fair","Needs Improvement"))))</x:f>
        <x:v>Excellent</x:v>
      </x:c>
      <x:c r="K37" s="10" t="n"/>
      <x:c r="L37" s="10" t="n"/>
      <x:c r="M37" s="10" t="n"/>
      <x:c r="N37" s="10" t="n"/>
      <x:c r="O37" s="10" t="n"/>
      <x:c r="P37" s="10" t="n"/>
    </x:row>
    <x:row r="38">
      <x:c r="A38" s="2" t="inlineStr">
        <x:is>
          <x:t xml:space="preserve">EIS/2026/0005</x:t>
        </x:is>
      </x:c>
      <x:c r="B38" s="3" t="inlineStr">
        <x:is>
          <x:t xml:space="preserve">Michael Balogun</x:t>
        </x:is>
      </x:c>
      <x:c r="C38" s="4" t="inlineStr">
        <x:is>
          <x:t xml:space="preserve">Mathematics</x:t>
        </x:is>
      </x:c>
      <x:c r="D38" s="5" t="n">
        <x:v>8</x:v>
      </x:c>
      <x:c r="E38" s="5" t="n">
        <x:v>15</x:v>
      </x:c>
      <x:c r="F38" s="5" t="n">
        <x:v>36</x:v>
      </x:c>
      <x:c r="G38" s="5">
        <x:f>D38+E38+F38</x:f>
        <x:v>59</x:v>
      </x:c>
      <x:c r="H38" s="5">
        <x:f>1+SUMPRODUCT(($C$2:$C$91=C38)*($G$2:$G$91&gt;G38))</x:f>
        <x:v>5</x:v>
      </x:c>
      <x:c r="I38" s="6" t="str">
        <x:f>IF(G38&gt;=70,"A",IF(G38&gt;=60,"B",IF(G38&gt;=50,"C",IF(G38&gt;=40,"D","E"))))</x:f>
        <x:v>C</x:v>
      </x:c>
      <x:c r="J38" s="4" t="str">
        <x:f>IF(G38&gt;=70,"Excellent",IF(G38&gt;=60,"Very Good",IF(G38&gt;=50,"Good",IF(G38&gt;=40,"Fair","Needs Improvement"))))</x:f>
        <x:v>Good</x:v>
      </x:c>
      <x:c r="K38" s="7">
        <x:f>SUM(D38:D46)</x:f>
        <x:v>69</x:v>
      </x:c>
      <x:c r="L38" s="7">
        <x:f>SUM(E38:E46)</x:f>
        <x:v>138</x:v>
      </x:c>
      <x:c r="M38" s="7">
        <x:f>SUM(F38:F46)</x:f>
        <x:v>463</x:v>
      </x:c>
      <x:c r="N38" s="7">
        <x:f>SUM(G38:G46)</x:f>
        <x:v>670</x:v>
      </x:c>
      <x:c r="O38" s="8">
        <x:f>ROUND(AVERAGE(G38:G46),2)</x:f>
        <x:v>74.44</x:v>
      </x:c>
      <x:c r="P38" s="8">
        <x:f>ROUND(AVERAGE($G$2:$G$91),2)</x:f>
        <x:v>67.87</x:v>
      </x:c>
    </x:row>
    <x:row r="39">
      <x:c r="A39" s="9" t="n"/>
      <x:c r="B39" s="9" t="n"/>
      <x:c r="C39" s="4" t="inlineStr">
        <x:is>
          <x:t xml:space="preserve">English Studies</x:t>
        </x:is>
      </x:c>
      <x:c r="D39" s="5" t="n">
        <x:v>10</x:v>
      </x:c>
      <x:c r="E39" s="5" t="n">
        <x:v>20</x:v>
      </x:c>
      <x:c r="F39" s="5" t="n">
        <x:v>59</x:v>
      </x:c>
      <x:c r="G39" s="5">
        <x:f>D39+E39+F39</x:f>
        <x:v>89</x:v>
      </x:c>
      <x:c r="H39" s="5">
        <x:f>1+SUMPRODUCT(($C$2:$C$91=C39)*($G$2:$G$91&gt;G39))</x:f>
        <x:v>2</x:v>
      </x:c>
      <x:c r="I39" s="6" t="str">
        <x:f>IF(G39&gt;=70,"A",IF(G39&gt;=60,"B",IF(G39&gt;=50,"C",IF(G39&gt;=40,"D","E"))))</x:f>
        <x:v>A</x:v>
      </x:c>
      <x:c r="J39" s="4" t="str">
        <x:f>IF(G39&gt;=70,"Excellent",IF(G39&gt;=60,"Very Good",IF(G39&gt;=50,"Good",IF(G39&gt;=40,"Fair","Needs Improvement"))))</x:f>
        <x:v>Excellent</x:v>
      </x:c>
      <x:c r="K39" s="9" t="n"/>
      <x:c r="L39" s="9" t="n"/>
      <x:c r="M39" s="9" t="n"/>
      <x:c r="N39" s="9" t="n"/>
      <x:c r="O39" s="9" t="n"/>
      <x:c r="P39" s="9" t="n"/>
    </x:row>
    <x:row r="40">
      <x:c r="A40" s="9" t="n"/>
      <x:c r="B40" s="9" t="n"/>
      <x:c r="C40" s="4" t="inlineStr">
        <x:is>
          <x:t xml:space="preserve">Basic Science and Technology</x:t>
        </x:is>
      </x:c>
      <x:c r="D40" s="5" t="n">
        <x:v>6</x:v>
      </x:c>
      <x:c r="E40" s="5" t="n">
        <x:v>15</x:v>
      </x:c>
      <x:c r="F40" s="5" t="n">
        <x:v>44</x:v>
      </x:c>
      <x:c r="G40" s="5">
        <x:f>D40+E40+F40</x:f>
        <x:v>65</x:v>
      </x:c>
      <x:c r="H40" s="5">
        <x:f>1+SUMPRODUCT(($C$2:$C$91=C40)*($G$2:$G$91&gt;G40))</x:f>
        <x:v>7</x:v>
      </x:c>
      <x:c r="I40" s="6" t="str">
        <x:f>IF(G40&gt;=70,"A",IF(G40&gt;=60,"B",IF(G40&gt;=50,"C",IF(G40&gt;=40,"D","E"))))</x:f>
        <x:v>B</x:v>
      </x:c>
      <x:c r="J40" s="4" t="str">
        <x:f>IF(G40&gt;=70,"Excellent",IF(G40&gt;=60,"Very Good",IF(G40&gt;=50,"Good",IF(G40&gt;=40,"Fair","Needs Improvement"))))</x:f>
        <x:v>Very Good</x:v>
      </x:c>
      <x:c r="K40" s="9" t="n"/>
      <x:c r="L40" s="9" t="n"/>
      <x:c r="M40" s="9" t="n"/>
      <x:c r="N40" s="9" t="n"/>
      <x:c r="O40" s="9" t="n"/>
      <x:c r="P40" s="9" t="n"/>
    </x:row>
    <x:row r="41">
      <x:c r="A41" s="9" t="n"/>
      <x:c r="B41" s="9" t="n"/>
      <x:c r="C41" s="4" t="inlineStr">
        <x:is>
          <x:t xml:space="preserve">Pre-Vocational Studies</x:t>
        </x:is>
      </x:c>
      <x:c r="D41" s="5" t="n">
        <x:v>4</x:v>
      </x:c>
      <x:c r="E41" s="5" t="n">
        <x:v>13</x:v>
      </x:c>
      <x:c r="F41" s="5" t="n">
        <x:v>54</x:v>
      </x:c>
      <x:c r="G41" s="5">
        <x:f>D41+E41+F41</x:f>
        <x:v>71</x:v>
      </x:c>
      <x:c r="H41" s="5">
        <x:f>1+SUMPRODUCT(($C$2:$C$91=C41)*($G$2:$G$91&gt;G41))</x:f>
        <x:v>5</x:v>
      </x:c>
      <x:c r="I41" s="6" t="str">
        <x:f>IF(G41&gt;=70,"A",IF(G41&gt;=60,"B",IF(G41&gt;=50,"C",IF(G41&gt;=40,"D","E"))))</x:f>
        <x:v>A</x:v>
      </x:c>
      <x:c r="J41" s="4" t="str">
        <x:f>IF(G41&gt;=70,"Excellent",IF(G41&gt;=60,"Very Good",IF(G41&gt;=50,"Good",IF(G41&gt;=40,"Fair","Needs Improvement"))))</x:f>
        <x:v>Excellent</x:v>
      </x:c>
      <x:c r="K41" s="9" t="n"/>
      <x:c r="L41" s="9" t="n"/>
      <x:c r="M41" s="9" t="n"/>
      <x:c r="N41" s="9" t="n"/>
      <x:c r="O41" s="9" t="n"/>
      <x:c r="P41" s="9" t="n"/>
    </x:row>
    <x:row r="42">
      <x:c r="A42" s="9" t="n"/>
      <x:c r="B42" s="9" t="n"/>
      <x:c r="C42" s="4" t="inlineStr">
        <x:is>
          <x:t xml:space="preserve">National Value</x:t>
        </x:is>
      </x:c>
      <x:c r="D42" s="5" t="n">
        <x:v>9</x:v>
      </x:c>
      <x:c r="E42" s="5" t="n">
        <x:v>12</x:v>
      </x:c>
      <x:c r="F42" s="5" t="n">
        <x:v>53</x:v>
      </x:c>
      <x:c r="G42" s="5">
        <x:f>D42+E42+F42</x:f>
        <x:v>74</x:v>
      </x:c>
      <x:c r="H42" s="5">
        <x:f>1+SUMPRODUCT(($C$2:$C$91=C42)*($G$2:$G$91&gt;G42))</x:f>
        <x:v>4</x:v>
      </x:c>
      <x:c r="I42" s="6" t="str">
        <x:f>IF(G42&gt;=70,"A",IF(G42&gt;=60,"B",IF(G42&gt;=50,"C",IF(G42&gt;=40,"D","E"))))</x:f>
        <x:v>A</x:v>
      </x:c>
      <x:c r="J42" s="4" t="str">
        <x:f>IF(G42&gt;=70,"Excellent",IF(G42&gt;=60,"Very Good",IF(G42&gt;=50,"Good",IF(G42&gt;=40,"Fair","Needs Improvement"))))</x:f>
        <x:v>Excellent</x:v>
      </x:c>
      <x:c r="K42" s="9" t="n"/>
      <x:c r="L42" s="9" t="n"/>
      <x:c r="M42" s="9" t="n"/>
      <x:c r="N42" s="9" t="n"/>
      <x:c r="O42" s="9" t="n"/>
      <x:c r="P42" s="9" t="n"/>
    </x:row>
    <x:row r="43">
      <x:c r="A43" s="9" t="n"/>
      <x:c r="B43" s="9" t="n"/>
      <x:c r="C43" s="4" t="inlineStr">
        <x:is>
          <x:t xml:space="preserve">Business Studies</x:t>
        </x:is>
      </x:c>
      <x:c r="D43" s="5" t="n">
        <x:v>10</x:v>
      </x:c>
      <x:c r="E43" s="5" t="n">
        <x:v>20</x:v>
      </x:c>
      <x:c r="F43" s="5" t="n">
        <x:v>58</x:v>
      </x:c>
      <x:c r="G43" s="5">
        <x:f>D43+E43+F43</x:f>
        <x:v>88</x:v>
      </x:c>
      <x:c r="H43" s="5">
        <x:f>1+SUMPRODUCT(($C$2:$C$91=C43)*($G$2:$G$91&gt;G43))</x:f>
        <x:v>1</x:v>
      </x:c>
      <x:c r="I43" s="6" t="str">
        <x:f>IF(G43&gt;=70,"A",IF(G43&gt;=60,"B",IF(G43&gt;=50,"C",IF(G43&gt;=40,"D","E"))))</x:f>
        <x:v>A</x:v>
      </x:c>
      <x:c r="J43" s="4" t="str">
        <x:f>IF(G43&gt;=70,"Excellent",IF(G43&gt;=60,"Very Good",IF(G43&gt;=50,"Good",IF(G43&gt;=40,"Fair","Needs Improvement"))))</x:f>
        <x:v>Excellent</x:v>
      </x:c>
      <x:c r="K43" s="9" t="n"/>
      <x:c r="L43" s="9" t="n"/>
      <x:c r="M43" s="9" t="n"/>
      <x:c r="N43" s="9" t="n"/>
      <x:c r="O43" s="9" t="n"/>
      <x:c r="P43" s="9" t="n"/>
    </x:row>
    <x:row r="44">
      <x:c r="A44" s="9" t="n"/>
      <x:c r="B44" s="9" t="n"/>
      <x:c r="C44" s="4" t="inlineStr">
        <x:is>
          <x:t xml:space="preserve">Creative and Cultural Art</x:t>
        </x:is>
      </x:c>
      <x:c r="D44" s="5" t="n">
        <x:v>6</x:v>
      </x:c>
      <x:c r="E44" s="5" t="n">
        <x:v>16</x:v>
      </x:c>
      <x:c r="F44" s="5" t="n">
        <x:v>55</x:v>
      </x:c>
      <x:c r="G44" s="5">
        <x:f>D44+E44+F44</x:f>
        <x:v>77</x:v>
      </x:c>
      <x:c r="H44" s="5">
        <x:f>1+SUMPRODUCT(($C$2:$C$91=C44)*($G$2:$G$91&gt;G44))</x:f>
        <x:v>2</x:v>
      </x:c>
      <x:c r="I44" s="6" t="str">
        <x:f>IF(G44&gt;=70,"A",IF(G44&gt;=60,"B",IF(G44&gt;=50,"C",IF(G44&gt;=40,"D","E"))))</x:f>
        <x:v>A</x:v>
      </x:c>
      <x:c r="J44" s="4" t="str">
        <x:f>IF(G44&gt;=70,"Excellent",IF(G44&gt;=60,"Very Good",IF(G44&gt;=50,"Good",IF(G44&gt;=40,"Fair","Needs Improvement"))))</x:f>
        <x:v>Excellent</x:v>
      </x:c>
      <x:c r="K44" s="9" t="n"/>
      <x:c r="L44" s="9" t="n"/>
      <x:c r="M44" s="9" t="n"/>
      <x:c r="N44" s="9" t="n"/>
      <x:c r="O44" s="9" t="n"/>
      <x:c r="P44" s="9" t="n"/>
    </x:row>
    <x:row r="45">
      <x:c r="A45" s="9" t="n"/>
      <x:c r="B45" s="9" t="n"/>
      <x:c r="C45" s="4" t="inlineStr">
        <x:is>
          <x:t xml:space="preserve">Christian Religious Studies</x:t>
        </x:is>
      </x:c>
      <x:c r="D45" s="5" t="n">
        <x:v>10</x:v>
      </x:c>
      <x:c r="E45" s="5" t="n">
        <x:v>20</x:v>
      </x:c>
      <x:c r="F45" s="5" t="n">
        <x:v>59</x:v>
      </x:c>
      <x:c r="G45" s="5">
        <x:f>D45+E45+F45</x:f>
        <x:v>89</x:v>
      </x:c>
      <x:c r="H45" s="5">
        <x:f>1+SUMPRODUCT(($C$2:$C$91=C45)*($G$2:$G$91&gt;G45))</x:f>
        <x:v>2</x:v>
      </x:c>
      <x:c r="I45" s="6" t="str">
        <x:f>IF(G45&gt;=70,"A",IF(G45&gt;=60,"B",IF(G45&gt;=50,"C",IF(G45&gt;=40,"D","E"))))</x:f>
        <x:v>A</x:v>
      </x:c>
      <x:c r="J45" s="4" t="str">
        <x:f>IF(G45&gt;=70,"Excellent",IF(G45&gt;=60,"Very Good",IF(G45&gt;=50,"Good",IF(G45&gt;=40,"Fair","Needs Improvement"))))</x:f>
        <x:v>Excellent</x:v>
      </x:c>
      <x:c r="K45" s="9" t="n"/>
      <x:c r="L45" s="9" t="n"/>
      <x:c r="M45" s="9" t="n"/>
      <x:c r="N45" s="9" t="n"/>
      <x:c r="O45" s="9" t="n"/>
      <x:c r="P45" s="9" t="n"/>
    </x:row>
    <x:row r="46">
      <x:c r="A46" s="10" t="n"/>
      <x:c r="B46" s="10" t="n"/>
      <x:c r="C46" s="4" t="inlineStr">
        <x:is>
          <x:t xml:space="preserve">History Studies</x:t>
        </x:is>
      </x:c>
      <x:c r="D46" s="5" t="n">
        <x:v>6</x:v>
      </x:c>
      <x:c r="E46" s="5" t="n">
        <x:v>7</x:v>
      </x:c>
      <x:c r="F46" s="5" t="n">
        <x:v>45</x:v>
      </x:c>
      <x:c r="G46" s="5">
        <x:f>D46+E46+F46</x:f>
        <x:v>58</x:v>
      </x:c>
      <x:c r="H46" s="5">
        <x:f>1+SUMPRODUCT(($C$2:$C$91=C46)*($G$2:$G$91&gt;G46))</x:f>
        <x:v>7</x:v>
      </x:c>
      <x:c r="I46" s="6" t="str">
        <x:f>IF(G46&gt;=70,"A",IF(G46&gt;=60,"B",IF(G46&gt;=50,"C",IF(G46&gt;=40,"D","E"))))</x:f>
        <x:v>C</x:v>
      </x:c>
      <x:c r="J46" s="4" t="str">
        <x:f>IF(G46&gt;=70,"Excellent",IF(G46&gt;=60,"Very Good",IF(G46&gt;=50,"Good",IF(G46&gt;=40,"Fair","Needs Improvement"))))</x:f>
        <x:v>Good</x:v>
      </x:c>
      <x:c r="K46" s="10" t="n"/>
      <x:c r="L46" s="10" t="n"/>
      <x:c r="M46" s="10" t="n"/>
      <x:c r="N46" s="10" t="n"/>
      <x:c r="O46" s="10" t="n"/>
      <x:c r="P46" s="10" t="n"/>
    </x:row>
    <x:row r="47" ht="28.799999237060547" customHeight="1">
      <x:c r="A47" s="2" t="inlineStr">
        <x:is>
          <x:t xml:space="preserve">EIS/2026/0006</x:t>
        </x:is>
      </x:c>
      <x:c r="B47" s="3" t="inlineStr">
        <x:is>
          <x:t xml:space="preserve">Joy Olawale</x:t>
        </x:is>
      </x:c>
      <x:c r="C47" s="4" t="inlineStr">
        <x:is>
          <x:t xml:space="preserve">Mathematics</x:t>
        </x:is>
      </x:c>
      <x:c r="D47" s="5" t="n">
        <x:v>2</x:v>
      </x:c>
      <x:c r="E47" s="5" t="n">
        <x:v>3</x:v>
      </x:c>
      <x:c r="F47" s="5" t="n">
        <x:v>30</x:v>
      </x:c>
      <x:c r="G47" s="5">
        <x:f>D47+E47+F47</x:f>
        <x:v>35</x:v>
      </x:c>
      <x:c r="H47" s="5">
        <x:f>1+SUMPRODUCT(($C$2:$C$91=C47)*($G$2:$G$91&gt;G47))</x:f>
        <x:v>10</x:v>
      </x:c>
      <x:c r="I47" s="6" t="str">
        <x:f>IF(G47&gt;=70,"A",IF(G47&gt;=60,"B",IF(G47&gt;=50,"C",IF(G47&gt;=40,"D","E"))))</x:f>
        <x:v>E</x:v>
      </x:c>
      <x:c r="J47" s="4" t="str">
        <x:f>IF(G47&gt;=70,"Excellent",IF(G47&gt;=60,"Very Good",IF(G47&gt;=50,"Good",IF(G47&gt;=40,"Fair","Needs Improvement"))))</x:f>
        <x:v>Needs Improvement</x:v>
      </x:c>
      <x:c r="K47" s="7">
        <x:f>SUM(D47:D55)</x:f>
        <x:v>29</x:v>
      </x:c>
      <x:c r="L47" s="7">
        <x:f>SUM(E47:E55)</x:f>
        <x:v>95</x:v>
      </x:c>
      <x:c r="M47" s="7">
        <x:f>SUM(F47:F55)</x:f>
        <x:v>281</x:v>
      </x:c>
      <x:c r="N47" s="7">
        <x:f>SUM(G47:G55)</x:f>
        <x:v>405</x:v>
      </x:c>
      <x:c r="O47" s="8">
        <x:f>ROUND(AVERAGE(G47:G55),2)</x:f>
        <x:v>45</x:v>
      </x:c>
      <x:c r="P47" s="8">
        <x:f>ROUND(AVERAGE($G$2:$G$91),2)</x:f>
        <x:v>67.87</x:v>
      </x:c>
    </x:row>
    <x:row r="48" ht="28.799999237060547" customHeight="1">
      <x:c r="A48" s="9" t="n"/>
      <x:c r="B48" s="9" t="n"/>
      <x:c r="C48" s="4" t="inlineStr">
        <x:is>
          <x:t xml:space="preserve">English Studies</x:t>
        </x:is>
      </x:c>
      <x:c r="D48" s="5" t="n">
        <x:v>1</x:v>
      </x:c>
      <x:c r="E48" s="5" t="n">
        <x:v>10</x:v>
      </x:c>
      <x:c r="F48" s="5" t="n">
        <x:v>22</x:v>
      </x:c>
      <x:c r="G48" s="5">
        <x:f>D48+E48+F48</x:f>
        <x:v>33</x:v>
      </x:c>
      <x:c r="H48" s="5">
        <x:f>1+SUMPRODUCT(($C$2:$C$91=C48)*($G$2:$G$91&gt;G48))</x:f>
        <x:v>10</x:v>
      </x:c>
      <x:c r="I48" s="6" t="str">
        <x:f>IF(G48&gt;=70,"A",IF(G48&gt;=60,"B",IF(G48&gt;=50,"C",IF(G48&gt;=40,"D","E"))))</x:f>
        <x:v>E</x:v>
      </x:c>
      <x:c r="J48" s="4" t="str">
        <x:f>IF(G48&gt;=70,"Excellent",IF(G48&gt;=60,"Very Good",IF(G48&gt;=50,"Good",IF(G48&gt;=40,"Fair","Needs Improvement"))))</x:f>
        <x:v>Needs Improvement</x:v>
      </x:c>
      <x:c r="K48" s="9" t="n"/>
      <x:c r="L48" s="9" t="n"/>
      <x:c r="M48" s="9" t="n"/>
      <x:c r="N48" s="9" t="n"/>
      <x:c r="O48" s="9" t="n"/>
      <x:c r="P48" s="9" t="n"/>
    </x:row>
    <x:row r="49" ht="28.799999237060547" customHeight="1">
      <x:c r="A49" s="9" t="n"/>
      <x:c r="B49" s="9" t="n"/>
      <x:c r="C49" s="4" t="inlineStr">
        <x:is>
          <x:t xml:space="preserve">Basic Science and Technology</x:t>
        </x:is>
      </x:c>
      <x:c r="D49" s="5" t="n">
        <x:v>1</x:v>
      </x:c>
      <x:c r="E49" s="5" t="n">
        <x:v>12</x:v>
      </x:c>
      <x:c r="F49" s="5" t="n">
        <x:v>20</x:v>
      </x:c>
      <x:c r="G49" s="5">
        <x:f>D49+E49+F49</x:f>
        <x:v>33</x:v>
      </x:c>
      <x:c r="H49" s="5">
        <x:f>1+SUMPRODUCT(($C$2:$C$91=C49)*($G$2:$G$91&gt;G49))</x:f>
        <x:v>10</x:v>
      </x:c>
      <x:c r="I49" s="6" t="str">
        <x:f>IF(G49&gt;=70,"A",IF(G49&gt;=60,"B",IF(G49&gt;=50,"C",IF(G49&gt;=40,"D","E"))))</x:f>
        <x:v>E</x:v>
      </x:c>
      <x:c r="J49" s="4" t="str">
        <x:f>IF(G49&gt;=70,"Excellent",IF(G49&gt;=60,"Very Good",IF(G49&gt;=50,"Good",IF(G49&gt;=40,"Fair","Needs Improvement"))))</x:f>
        <x:v>Needs Improvement</x:v>
      </x:c>
      <x:c r="K49" s="9" t="n"/>
      <x:c r="L49" s="9" t="n"/>
      <x:c r="M49" s="9" t="n"/>
      <x:c r="N49" s="9" t="n"/>
      <x:c r="O49" s="9" t="n"/>
      <x:c r="P49" s="9" t="n"/>
    </x:row>
    <x:row r="50">
      <x:c r="A50" s="9" t="n"/>
      <x:c r="B50" s="9" t="n"/>
      <x:c r="C50" s="4" t="inlineStr">
        <x:is>
          <x:t xml:space="preserve">Pre-Vocational Studies</x:t>
        </x:is>
      </x:c>
      <x:c r="D50" s="5" t="n">
        <x:v>4</x:v>
      </x:c>
      <x:c r="E50" s="5" t="n">
        <x:v>13</x:v>
      </x:c>
      <x:c r="F50" s="5" t="n">
        <x:v>32</x:v>
      </x:c>
      <x:c r="G50" s="5">
        <x:f>D50+E50+F50</x:f>
        <x:v>49</x:v>
      </x:c>
      <x:c r="H50" s="5">
        <x:f>1+SUMPRODUCT(($C$2:$C$91=C50)*($G$2:$G$91&gt;G50))</x:f>
        <x:v>10</x:v>
      </x:c>
      <x:c r="I50" s="6" t="str">
        <x:f>IF(G50&gt;=70,"A",IF(G50&gt;=60,"B",IF(G50&gt;=50,"C",IF(G50&gt;=40,"D","E"))))</x:f>
        <x:v>D</x:v>
      </x:c>
      <x:c r="J50" s="4" t="str">
        <x:f>IF(G50&gt;=70,"Excellent",IF(G50&gt;=60,"Very Good",IF(G50&gt;=50,"Good",IF(G50&gt;=40,"Fair","Needs Improvement"))))</x:f>
        <x:v>Fair</x:v>
      </x:c>
      <x:c r="K50" s="9" t="n"/>
      <x:c r="L50" s="9" t="n"/>
      <x:c r="M50" s="9" t="n"/>
      <x:c r="N50" s="9" t="n"/>
      <x:c r="O50" s="9" t="n"/>
      <x:c r="P50" s="9" t="n"/>
    </x:row>
    <x:row r="51">
      <x:c r="A51" s="9" t="n"/>
      <x:c r="B51" s="9" t="n"/>
      <x:c r="C51" s="4" t="inlineStr">
        <x:is>
          <x:t xml:space="preserve">National Value</x:t>
        </x:is>
      </x:c>
      <x:c r="D51" s="5" t="n">
        <x:v>4</x:v>
      </x:c>
      <x:c r="E51" s="5" t="n">
        <x:v>14</x:v>
      </x:c>
      <x:c r="F51" s="5" t="n">
        <x:v>44</x:v>
      </x:c>
      <x:c r="G51" s="5">
        <x:f>D51+E51+F51</x:f>
        <x:v>62</x:v>
      </x:c>
      <x:c r="H51" s="5">
        <x:f>1+SUMPRODUCT(($C$2:$C$91=C51)*($G$2:$G$91&gt;G51))</x:f>
        <x:v>9</x:v>
      </x:c>
      <x:c r="I51" s="6" t="str">
        <x:f>IF(G51&gt;=70,"A",IF(G51&gt;=60,"B",IF(G51&gt;=50,"C",IF(G51&gt;=40,"D","E"))))</x:f>
        <x:v>B</x:v>
      </x:c>
      <x:c r="J51" s="4" t="str">
        <x:f>IF(G51&gt;=70,"Excellent",IF(G51&gt;=60,"Very Good",IF(G51&gt;=50,"Good",IF(G51&gt;=40,"Fair","Needs Improvement"))))</x:f>
        <x:v>Very Good</x:v>
      </x:c>
      <x:c r="K51" s="9" t="n"/>
      <x:c r="L51" s="9" t="n"/>
      <x:c r="M51" s="9" t="n"/>
      <x:c r="N51" s="9" t="n"/>
      <x:c r="O51" s="9" t="n"/>
      <x:c r="P51" s="9" t="n"/>
    </x:row>
    <x:row r="52">
      <x:c r="A52" s="9" t="n"/>
      <x:c r="B52" s="9" t="n"/>
      <x:c r="C52" s="4" t="inlineStr">
        <x:is>
          <x:t xml:space="preserve">Business Studies</x:t>
        </x:is>
      </x:c>
      <x:c r="D52" s="5" t="n">
        <x:v>8</x:v>
      </x:c>
      <x:c r="E52" s="5" t="n">
        <x:v>11</x:v>
      </x:c>
      <x:c r="F52" s="5" t="n">
        <x:v>39</x:v>
      </x:c>
      <x:c r="G52" s="5">
        <x:f>D52+E52+F52</x:f>
        <x:v>58</x:v>
      </x:c>
      <x:c r="H52" s="5">
        <x:f>1+SUMPRODUCT(($C$2:$C$91=C52)*($G$2:$G$91&gt;G52))</x:f>
        <x:v>9</x:v>
      </x:c>
      <x:c r="I52" s="6" t="str">
        <x:f>IF(G52&gt;=70,"A",IF(G52&gt;=60,"B",IF(G52&gt;=50,"C",IF(G52&gt;=40,"D","E"))))</x:f>
        <x:v>C</x:v>
      </x:c>
      <x:c r="J52" s="4" t="str">
        <x:f>IF(G52&gt;=70,"Excellent",IF(G52&gt;=60,"Very Good",IF(G52&gt;=50,"Good",IF(G52&gt;=40,"Fair","Needs Improvement"))))</x:f>
        <x:v>Good</x:v>
      </x:c>
      <x:c r="K52" s="9" t="n"/>
      <x:c r="L52" s="9" t="n"/>
      <x:c r="M52" s="9" t="n"/>
      <x:c r="N52" s="9" t="n"/>
      <x:c r="O52" s="9" t="n"/>
      <x:c r="P52" s="9" t="n"/>
    </x:row>
    <x:row r="53">
      <x:c r="A53" s="9" t="n"/>
      <x:c r="B53" s="9" t="n"/>
      <x:c r="C53" s="4" t="inlineStr">
        <x:is>
          <x:t xml:space="preserve">Creative and Cultural Art</x:t>
        </x:is>
      </x:c>
      <x:c r="D53" s="5" t="n">
        <x:v>5</x:v>
      </x:c>
      <x:c r="E53" s="5" t="n">
        <x:v>13</x:v>
      </x:c>
      <x:c r="F53" s="5" t="n">
        <x:v>37</x:v>
      </x:c>
      <x:c r="G53" s="5">
        <x:f>D53+E53+F53</x:f>
        <x:v>55</x:v>
      </x:c>
      <x:c r="H53" s="5">
        <x:f>1+SUMPRODUCT(($C$2:$C$91=C53)*($G$2:$G$91&gt;G53))</x:f>
        <x:v>10</x:v>
      </x:c>
      <x:c r="I53" s="6" t="str">
        <x:f>IF(G53&gt;=70,"A",IF(G53&gt;=60,"B",IF(G53&gt;=50,"C",IF(G53&gt;=40,"D","E"))))</x:f>
        <x:v>C</x:v>
      </x:c>
      <x:c r="J53" s="4" t="str">
        <x:f>IF(G53&gt;=70,"Excellent",IF(G53&gt;=60,"Very Good",IF(G53&gt;=50,"Good",IF(G53&gt;=40,"Fair","Needs Improvement"))))</x:f>
        <x:v>Good</x:v>
      </x:c>
      <x:c r="K53" s="9" t="n"/>
      <x:c r="L53" s="9" t="n"/>
      <x:c r="M53" s="9" t="n"/>
      <x:c r="N53" s="9" t="n"/>
      <x:c r="O53" s="9" t="n"/>
      <x:c r="P53" s="9" t="n"/>
    </x:row>
    <x:row r="54">
      <x:c r="A54" s="9" t="n"/>
      <x:c r="B54" s="9" t="n"/>
      <x:c r="C54" s="4" t="inlineStr">
        <x:is>
          <x:t xml:space="preserve">Christian Religious Studies</x:t>
        </x:is>
      </x:c>
      <x:c r="D54" s="5" t="n">
        <x:v>3</x:v>
      </x:c>
      <x:c r="E54" s="5" t="n">
        <x:v>8</x:v>
      </x:c>
      <x:c r="F54" s="5" t="n">
        <x:v>30</x:v>
      </x:c>
      <x:c r="G54" s="5">
        <x:f>D54+E54+F54</x:f>
        <x:v>41</x:v>
      </x:c>
      <x:c r="H54" s="5">
        <x:f>1+SUMPRODUCT(($C$2:$C$91=C54)*($G$2:$G$91&gt;G54))</x:f>
        <x:v>10</x:v>
      </x:c>
      <x:c r="I54" s="6" t="str">
        <x:f>IF(G54&gt;=70,"A",IF(G54&gt;=60,"B",IF(G54&gt;=50,"C",IF(G54&gt;=40,"D","E"))))</x:f>
        <x:v>D</x:v>
      </x:c>
      <x:c r="J54" s="4" t="str">
        <x:f>IF(G54&gt;=70,"Excellent",IF(G54&gt;=60,"Very Good",IF(G54&gt;=50,"Good",IF(G54&gt;=40,"Fair","Needs Improvement"))))</x:f>
        <x:v>Fair</x:v>
      </x:c>
      <x:c r="K54" s="9" t="n"/>
      <x:c r="L54" s="9" t="n"/>
      <x:c r="M54" s="9" t="n"/>
      <x:c r="N54" s="9" t="n"/>
      <x:c r="O54" s="9" t="n"/>
      <x:c r="P54" s="9" t="n"/>
    </x:row>
    <x:row r="55" ht="28.799999237060547" customHeight="1">
      <x:c r="A55" s="10" t="n"/>
      <x:c r="B55" s="10" t="n"/>
      <x:c r="C55" s="4" t="inlineStr">
        <x:is>
          <x:t xml:space="preserve">History Studies</x:t>
        </x:is>
      </x:c>
      <x:c r="D55" s="5" t="n">
        <x:v>1</x:v>
      </x:c>
      <x:c r="E55" s="5" t="n">
        <x:v>11</x:v>
      </x:c>
      <x:c r="F55" s="5" t="n">
        <x:v>27</x:v>
      </x:c>
      <x:c r="G55" s="5">
        <x:f>D55+E55+F55</x:f>
        <x:v>39</x:v>
      </x:c>
      <x:c r="H55" s="5">
        <x:f>1+SUMPRODUCT(($C$2:$C$91=C55)*($G$2:$G$91&gt;G55))</x:f>
        <x:v>10</x:v>
      </x:c>
      <x:c r="I55" s="6" t="str">
        <x:f>IF(G55&gt;=70,"A",IF(G55&gt;=60,"B",IF(G55&gt;=50,"C",IF(G55&gt;=40,"D","E"))))</x:f>
        <x:v>E</x:v>
      </x:c>
      <x:c r="J55" s="4" t="str">
        <x:f>IF(G55&gt;=70,"Excellent",IF(G55&gt;=60,"Very Good",IF(G55&gt;=50,"Good",IF(G55&gt;=40,"Fair","Needs Improvement"))))</x:f>
        <x:v>Needs Improvement</x:v>
      </x:c>
      <x:c r="K55" s="10" t="n"/>
      <x:c r="L55" s="10" t="n"/>
      <x:c r="M55" s="10" t="n"/>
      <x:c r="N55" s="10" t="n"/>
      <x:c r="O55" s="10" t="n"/>
      <x:c r="P55" s="10" t="n"/>
    </x:row>
    <x:row r="56">
      <x:c r="A56" s="2" t="inlineStr">
        <x:is>
          <x:t xml:space="preserve">EIS/2026/0007</x:t>
        </x:is>
      </x:c>
      <x:c r="B56" s="3" t="inlineStr">
        <x:is>
          <x:t xml:space="preserve">David Uche</x:t>
        </x:is>
      </x:c>
      <x:c r="C56" s="4" t="inlineStr">
        <x:is>
          <x:t xml:space="preserve">Mathematics</x:t>
        </x:is>
      </x:c>
      <x:c r="D56" s="5" t="n">
        <x:v>4</x:v>
      </x:c>
      <x:c r="E56" s="5" t="n">
        <x:v>9</x:v>
      </x:c>
      <x:c r="F56" s="5" t="n">
        <x:v>45</x:v>
      </x:c>
      <x:c r="G56" s="5">
        <x:f>D56+E56+F56</x:f>
        <x:v>58</x:v>
      </x:c>
      <x:c r="H56" s="5">
        <x:f>1+SUMPRODUCT(($C$2:$C$91=C56)*($G$2:$G$91&gt;G56))</x:f>
        <x:v>6</x:v>
      </x:c>
      <x:c r="I56" s="6" t="str">
        <x:f>IF(G56&gt;=70,"A",IF(G56&gt;=60,"B",IF(G56&gt;=50,"C",IF(G56&gt;=40,"D","E"))))</x:f>
        <x:v>C</x:v>
      </x:c>
      <x:c r="J56" s="4" t="str">
        <x:f>IF(G56&gt;=70,"Excellent",IF(G56&gt;=60,"Very Good",IF(G56&gt;=50,"Good",IF(G56&gt;=40,"Fair","Needs Improvement"))))</x:f>
        <x:v>Good</x:v>
      </x:c>
      <x:c r="K56" s="7">
        <x:f>SUM(D56:D64)</x:f>
        <x:v>60</x:v>
      </x:c>
      <x:c r="L56" s="7">
        <x:f>SUM(E56:E64)</x:f>
        <x:v>129</x:v>
      </x:c>
      <x:c r="M56" s="7">
        <x:f>SUM(F56:F64)</x:f>
        <x:v>473</x:v>
      </x:c>
      <x:c r="N56" s="7">
        <x:f>SUM(G56:G64)</x:f>
        <x:v>662</x:v>
      </x:c>
      <x:c r="O56" s="8">
        <x:f>ROUND(AVERAGE(G56:G64),2)</x:f>
        <x:v>73.56</x:v>
      </x:c>
      <x:c r="P56" s="8">
        <x:f>ROUND(AVERAGE($G$2:$G$91),2)</x:f>
        <x:v>67.87</x:v>
      </x:c>
    </x:row>
    <x:row r="57">
      <x:c r="A57" s="9" t="n"/>
      <x:c r="B57" s="9" t="n"/>
      <x:c r="C57" s="4" t="inlineStr">
        <x:is>
          <x:t xml:space="preserve">English Studies</x:t>
        </x:is>
      </x:c>
      <x:c r="D57" s="5" t="n">
        <x:v>6</x:v>
      </x:c>
      <x:c r="E57" s="5" t="n">
        <x:v>13</x:v>
      </x:c>
      <x:c r="F57" s="5" t="n">
        <x:v>51</x:v>
      </x:c>
      <x:c r="G57" s="5">
        <x:f>D57+E57+F57</x:f>
        <x:v>70</x:v>
      </x:c>
      <x:c r="H57" s="5">
        <x:f>1+SUMPRODUCT(($C$2:$C$91=C57)*($G$2:$G$91&gt;G57))</x:f>
        <x:v>4</x:v>
      </x:c>
      <x:c r="I57" s="6" t="str">
        <x:f>IF(G57&gt;=70,"A",IF(G57&gt;=60,"B",IF(G57&gt;=50,"C",IF(G57&gt;=40,"D","E"))))</x:f>
        <x:v>A</x:v>
      </x:c>
      <x:c r="J57" s="4" t="str">
        <x:f>IF(G57&gt;=70,"Excellent",IF(G57&gt;=60,"Very Good",IF(G57&gt;=50,"Good",IF(G57&gt;=40,"Fair","Needs Improvement"))))</x:f>
        <x:v>Excellent</x:v>
      </x:c>
      <x:c r="K57" s="9" t="n"/>
      <x:c r="L57" s="9" t="n"/>
      <x:c r="M57" s="9" t="n"/>
      <x:c r="N57" s="9" t="n"/>
      <x:c r="O57" s="9" t="n"/>
      <x:c r="P57" s="9" t="n"/>
    </x:row>
    <x:row r="58">
      <x:c r="A58" s="9" t="n"/>
      <x:c r="B58" s="9" t="n"/>
      <x:c r="C58" s="4" t="inlineStr">
        <x:is>
          <x:t xml:space="preserve">Basic Science and Technology</x:t>
        </x:is>
      </x:c>
      <x:c r="D58" s="5" t="n">
        <x:v>3</x:v>
      </x:c>
      <x:c r="E58" s="5" t="n">
        <x:v>15</x:v>
      </x:c>
      <x:c r="F58" s="5" t="n">
        <x:v>45</x:v>
      </x:c>
      <x:c r="G58" s="5">
        <x:f>D58+E58+F58</x:f>
        <x:v>63</x:v>
      </x:c>
      <x:c r="H58" s="5">
        <x:f>1+SUMPRODUCT(($C$2:$C$91=C58)*($G$2:$G$91&gt;G58))</x:f>
        <x:v>8</x:v>
      </x:c>
      <x:c r="I58" s="6" t="str">
        <x:f>IF(G58&gt;=70,"A",IF(G58&gt;=60,"B",IF(G58&gt;=50,"C",IF(G58&gt;=40,"D","E"))))</x:f>
        <x:v>B</x:v>
      </x:c>
      <x:c r="J58" s="4" t="str">
        <x:f>IF(G58&gt;=70,"Excellent",IF(G58&gt;=60,"Very Good",IF(G58&gt;=50,"Good",IF(G58&gt;=40,"Fair","Needs Improvement"))))</x:f>
        <x:v>Very Good</x:v>
      </x:c>
      <x:c r="K58" s="9" t="n"/>
      <x:c r="L58" s="9" t="n"/>
      <x:c r="M58" s="9" t="n"/>
      <x:c r="N58" s="9" t="n"/>
      <x:c r="O58" s="9" t="n"/>
      <x:c r="P58" s="9" t="n"/>
    </x:row>
    <x:row r="59">
      <x:c r="A59" s="9" t="n"/>
      <x:c r="B59" s="9" t="n"/>
      <x:c r="C59" s="4" t="inlineStr">
        <x:is>
          <x:t xml:space="preserve">Pre-Vocational Studies</x:t>
        </x:is>
      </x:c>
      <x:c r="D59" s="5" t="n">
        <x:v>9</x:v>
      </x:c>
      <x:c r="E59" s="5" t="n">
        <x:v>16</x:v>
      </x:c>
      <x:c r="F59" s="5" t="n">
        <x:v>49</x:v>
      </x:c>
      <x:c r="G59" s="5">
        <x:f>D59+E59+F59</x:f>
        <x:v>74</x:v>
      </x:c>
      <x:c r="H59" s="5">
        <x:f>1+SUMPRODUCT(($C$2:$C$91=C59)*($G$2:$G$91&gt;G59))</x:f>
        <x:v>2</x:v>
      </x:c>
      <x:c r="I59" s="6" t="str">
        <x:f>IF(G59&gt;=70,"A",IF(G59&gt;=60,"B",IF(G59&gt;=50,"C",IF(G59&gt;=40,"D","E"))))</x:f>
        <x:v>A</x:v>
      </x:c>
      <x:c r="J59" s="4" t="str">
        <x:f>IF(G59&gt;=70,"Excellent",IF(G59&gt;=60,"Very Good",IF(G59&gt;=50,"Good",IF(G59&gt;=40,"Fair","Needs Improvement"))))</x:f>
        <x:v>Excellent</x:v>
      </x:c>
      <x:c r="K59" s="9" t="n"/>
      <x:c r="L59" s="9" t="n"/>
      <x:c r="M59" s="9" t="n"/>
      <x:c r="N59" s="9" t="n"/>
      <x:c r="O59" s="9" t="n"/>
      <x:c r="P59" s="9" t="n"/>
    </x:row>
    <x:row r="60">
      <x:c r="A60" s="9" t="n"/>
      <x:c r="B60" s="9" t="n"/>
      <x:c r="C60" s="4" t="inlineStr">
        <x:is>
          <x:t xml:space="preserve">National Value</x:t>
        </x:is>
      </x:c>
      <x:c r="D60" s="5" t="n">
        <x:v>9</x:v>
      </x:c>
      <x:c r="E60" s="5" t="n">
        <x:v>18</x:v>
      </x:c>
      <x:c r="F60" s="5" t="n">
        <x:v>45</x:v>
      </x:c>
      <x:c r="G60" s="5">
        <x:f>D60+E60+F60</x:f>
        <x:v>72</x:v>
      </x:c>
      <x:c r="H60" s="5">
        <x:f>1+SUMPRODUCT(($C$2:$C$91=C60)*($G$2:$G$91&gt;G60))</x:f>
        <x:v>5</x:v>
      </x:c>
      <x:c r="I60" s="6" t="str">
        <x:f>IF(G60&gt;=70,"A",IF(G60&gt;=60,"B",IF(G60&gt;=50,"C",IF(G60&gt;=40,"D","E"))))</x:f>
        <x:v>A</x:v>
      </x:c>
      <x:c r="J60" s="4" t="str">
        <x:f>IF(G60&gt;=70,"Excellent",IF(G60&gt;=60,"Very Good",IF(G60&gt;=50,"Good",IF(G60&gt;=40,"Fair","Needs Improvement"))))</x:f>
        <x:v>Excellent</x:v>
      </x:c>
      <x:c r="K60" s="9" t="n"/>
      <x:c r="L60" s="9" t="n"/>
      <x:c r="M60" s="9" t="n"/>
      <x:c r="N60" s="9" t="n"/>
      <x:c r="O60" s="9" t="n"/>
      <x:c r="P60" s="9" t="n"/>
    </x:row>
    <x:row r="61">
      <x:c r="A61" s="9" t="n"/>
      <x:c r="B61" s="9" t="n"/>
      <x:c r="C61" s="4" t="inlineStr">
        <x:is>
          <x:t xml:space="preserve">Business Studies</x:t>
        </x:is>
      </x:c>
      <x:c r="D61" s="5" t="n">
        <x:v>6</x:v>
      </x:c>
      <x:c r="E61" s="5" t="n">
        <x:v>18</x:v>
      </x:c>
      <x:c r="F61" s="5" t="n">
        <x:v>63</x:v>
      </x:c>
      <x:c r="G61" s="5">
        <x:f>D61+E61+F61</x:f>
        <x:v>87</x:v>
      </x:c>
      <x:c r="H61" s="5">
        <x:f>1+SUMPRODUCT(($C$2:$C$91=C61)*($G$2:$G$91&gt;G61))</x:f>
        <x:v>2</x:v>
      </x:c>
      <x:c r="I61" s="6" t="str">
        <x:f>IF(G61&gt;=70,"A",IF(G61&gt;=60,"B",IF(G61&gt;=50,"C",IF(G61&gt;=40,"D","E"))))</x:f>
        <x:v>A</x:v>
      </x:c>
      <x:c r="J61" s="4" t="str">
        <x:f>IF(G61&gt;=70,"Excellent",IF(G61&gt;=60,"Very Good",IF(G61&gt;=50,"Good",IF(G61&gt;=40,"Fair","Needs Improvement"))))</x:f>
        <x:v>Excellent</x:v>
      </x:c>
      <x:c r="K61" s="9" t="n"/>
      <x:c r="L61" s="9" t="n"/>
      <x:c r="M61" s="9" t="n"/>
      <x:c r="N61" s="9" t="n"/>
      <x:c r="O61" s="9" t="n"/>
      <x:c r="P61" s="9" t="n"/>
    </x:row>
    <x:row r="62">
      <x:c r="A62" s="9" t="n"/>
      <x:c r="B62" s="9" t="n"/>
      <x:c r="C62" s="4" t="inlineStr">
        <x:is>
          <x:t xml:space="preserve">Creative and Cultural Art</x:t>
        </x:is>
      </x:c>
      <x:c r="D62" s="5" t="n">
        <x:v>5</x:v>
      </x:c>
      <x:c r="E62" s="5" t="n">
        <x:v>12</x:v>
      </x:c>
      <x:c r="F62" s="5" t="n">
        <x:v>53</x:v>
      </x:c>
      <x:c r="G62" s="5">
        <x:f>D62+E62+F62</x:f>
        <x:v>70</x:v>
      </x:c>
      <x:c r="H62" s="5">
        <x:f>1+SUMPRODUCT(($C$2:$C$91=C62)*($G$2:$G$91&gt;G62))</x:f>
        <x:v>6</x:v>
      </x:c>
      <x:c r="I62" s="6" t="str">
        <x:f>IF(G62&gt;=70,"A",IF(G62&gt;=60,"B",IF(G62&gt;=50,"C",IF(G62&gt;=40,"D","E"))))</x:f>
        <x:v>A</x:v>
      </x:c>
      <x:c r="J62" s="4" t="str">
        <x:f>IF(G62&gt;=70,"Excellent",IF(G62&gt;=60,"Very Good",IF(G62&gt;=50,"Good",IF(G62&gt;=40,"Fair","Needs Improvement"))))</x:f>
        <x:v>Excellent</x:v>
      </x:c>
      <x:c r="K62" s="9" t="n"/>
      <x:c r="L62" s="9" t="n"/>
      <x:c r="M62" s="9" t="n"/>
      <x:c r="N62" s="9" t="n"/>
      <x:c r="O62" s="9" t="n"/>
      <x:c r="P62" s="9" t="n"/>
    </x:row>
    <x:row r="63">
      <x:c r="A63" s="9" t="n"/>
      <x:c r="B63" s="9" t="n"/>
      <x:c r="C63" s="4" t="inlineStr">
        <x:is>
          <x:t xml:space="preserve">Christian Religious Studies</x:t>
        </x:is>
      </x:c>
      <x:c r="D63" s="5" t="n">
        <x:v>8</x:v>
      </x:c>
      <x:c r="E63" s="5" t="n">
        <x:v>18</x:v>
      </x:c>
      <x:c r="F63" s="5" t="n">
        <x:v>64</x:v>
      </x:c>
      <x:c r="G63" s="5">
        <x:f>D63+E63+F63</x:f>
        <x:v>90</x:v>
      </x:c>
      <x:c r="H63" s="5">
        <x:f>1+SUMPRODUCT(($C$2:$C$91=C63)*($G$2:$G$91&gt;G63))</x:f>
        <x:v>1</x:v>
      </x:c>
      <x:c r="I63" s="6" t="str">
        <x:f>IF(G63&gt;=70,"A",IF(G63&gt;=60,"B",IF(G63&gt;=50,"C",IF(G63&gt;=40,"D","E"))))</x:f>
        <x:v>A</x:v>
      </x:c>
      <x:c r="J63" s="4" t="str">
        <x:f>IF(G63&gt;=70,"Excellent",IF(G63&gt;=60,"Very Good",IF(G63&gt;=50,"Good",IF(G63&gt;=40,"Fair","Needs Improvement"))))</x:f>
        <x:v>Excellent</x:v>
      </x:c>
      <x:c r="K63" s="9" t="n"/>
      <x:c r="L63" s="9" t="n"/>
      <x:c r="M63" s="9" t="n"/>
      <x:c r="N63" s="9" t="n"/>
      <x:c r="O63" s="9" t="n"/>
      <x:c r="P63" s="9" t="n"/>
    </x:row>
    <x:row r="64">
      <x:c r="A64" s="10" t="n"/>
      <x:c r="B64" s="10" t="n"/>
      <x:c r="C64" s="4" t="inlineStr">
        <x:is>
          <x:t xml:space="preserve">History Studies</x:t>
        </x:is>
      </x:c>
      <x:c r="D64" s="5" t="n">
        <x:v>10</x:v>
      </x:c>
      <x:c r="E64" s="5" t="n">
        <x:v>10</x:v>
      </x:c>
      <x:c r="F64" s="5" t="n">
        <x:v>58</x:v>
      </x:c>
      <x:c r="G64" s="5">
        <x:f>D64+E64+F64</x:f>
        <x:v>78</x:v>
      </x:c>
      <x:c r="H64" s="5">
        <x:f>1+SUMPRODUCT(($C$2:$C$91=C64)*($G$2:$G$91&gt;G64))</x:f>
        <x:v>4</x:v>
      </x:c>
      <x:c r="I64" s="6" t="str">
        <x:f>IF(G64&gt;=70,"A",IF(G64&gt;=60,"B",IF(G64&gt;=50,"C",IF(G64&gt;=40,"D","E"))))</x:f>
        <x:v>A</x:v>
      </x:c>
      <x:c r="J64" s="4" t="str">
        <x:f>IF(G64&gt;=70,"Excellent",IF(G64&gt;=60,"Very Good",IF(G64&gt;=50,"Good",IF(G64&gt;=40,"Fair","Needs Improvement"))))</x:f>
        <x:v>Excellent</x:v>
      </x:c>
      <x:c r="K64" s="10" t="n"/>
      <x:c r="L64" s="10" t="n"/>
      <x:c r="M64" s="10" t="n"/>
      <x:c r="N64" s="10" t="n"/>
      <x:c r="O64" s="10" t="n"/>
      <x:c r="P64" s="10" t="n"/>
    </x:row>
    <x:row r="65">
      <x:c r="A65" s="2" t="inlineStr">
        <x:is>
          <x:t xml:space="preserve">EIS/2026/0008</x:t>
        </x:is>
      </x:c>
      <x:c r="B65" s="3" t="inlineStr">
        <x:is>
          <x:t xml:space="preserve">Blessing Ibrahim</x:t>
        </x:is>
      </x:c>
      <x:c r="C65" s="4" t="inlineStr">
        <x:is>
          <x:t xml:space="preserve">Mathematics</x:t>
        </x:is>
      </x:c>
      <x:c r="D65" s="5" t="n">
        <x:v>6</x:v>
      </x:c>
      <x:c r="E65" s="5" t="n">
        <x:v>18</x:v>
      </x:c>
      <x:c r="F65" s="5" t="n">
        <x:v>56</x:v>
      </x:c>
      <x:c r="G65" s="5">
        <x:f>D65+E65+F65</x:f>
        <x:v>80</x:v>
      </x:c>
      <x:c r="H65" s="5">
        <x:f>1+SUMPRODUCT(($C$2:$C$91=C65)*($G$2:$G$91&gt;G65))</x:f>
        <x:v>1</x:v>
      </x:c>
      <x:c r="I65" s="6" t="str">
        <x:f>IF(G65&gt;=70,"A",IF(G65&gt;=60,"B",IF(G65&gt;=50,"C",IF(G65&gt;=40,"D","E"))))</x:f>
        <x:v>A</x:v>
      </x:c>
      <x:c r="J65" s="4" t="str">
        <x:f>IF(G65&gt;=70,"Excellent",IF(G65&gt;=60,"Very Good",IF(G65&gt;=50,"Good",IF(G65&gt;=40,"Fair","Needs Improvement"))))</x:f>
        <x:v>Excellent</x:v>
      </x:c>
      <x:c r="K65" s="7">
        <x:f>SUM(D65:D73)</x:f>
        <x:v>60</x:v>
      </x:c>
      <x:c r="L65" s="7">
        <x:f>SUM(E65:E73)</x:f>
        <x:v>141</x:v>
      </x:c>
      <x:c r="M65" s="7">
        <x:f>SUM(F65:F73)</x:f>
        <x:v>514</x:v>
      </x:c>
      <x:c r="N65" s="7">
        <x:f>SUM(G65:G73)</x:f>
        <x:v>715</x:v>
      </x:c>
      <x:c r="O65" s="8">
        <x:f>ROUND(AVERAGE(G65:G73),2)</x:f>
        <x:v>79.44</x:v>
      </x:c>
      <x:c r="P65" s="8">
        <x:f>ROUND(AVERAGE($G$2:$G$91),2)</x:f>
        <x:v>67.87</x:v>
      </x:c>
    </x:row>
    <x:row r="66">
      <x:c r="A66" s="9" t="n"/>
      <x:c r="B66" s="9" t="n"/>
      <x:c r="C66" s="4" t="inlineStr">
        <x:is>
          <x:t xml:space="preserve">English Studies</x:t>
        </x:is>
      </x:c>
      <x:c r="D66" s="5" t="n">
        <x:v>10</x:v>
      </x:c>
      <x:c r="E66" s="5" t="n">
        <x:v>14</x:v>
      </x:c>
      <x:c r="F66" s="5" t="n">
        <x:v>66</x:v>
      </x:c>
      <x:c r="G66" s="5">
        <x:f>D66+E66+F66</x:f>
        <x:v>90</x:v>
      </x:c>
      <x:c r="H66" s="5">
        <x:f>1+SUMPRODUCT(($C$2:$C$91=C66)*($G$2:$G$91&gt;G66))</x:f>
        <x:v>1</x:v>
      </x:c>
      <x:c r="I66" s="6" t="str">
        <x:f>IF(G66&gt;=70,"A",IF(G66&gt;=60,"B",IF(G66&gt;=50,"C",IF(G66&gt;=40,"D","E"))))</x:f>
        <x:v>A</x:v>
      </x:c>
      <x:c r="J66" s="4" t="str">
        <x:f>IF(G66&gt;=70,"Excellent",IF(G66&gt;=60,"Very Good",IF(G66&gt;=50,"Good",IF(G66&gt;=40,"Fair","Needs Improvement"))))</x:f>
        <x:v>Excellent</x:v>
      </x:c>
      <x:c r="K66" s="9" t="n"/>
      <x:c r="L66" s="9" t="n"/>
      <x:c r="M66" s="9" t="n"/>
      <x:c r="N66" s="9" t="n"/>
      <x:c r="O66" s="9" t="n"/>
      <x:c r="P66" s="9" t="n"/>
    </x:row>
    <x:row r="67">
      <x:c r="A67" s="9" t="n"/>
      <x:c r="B67" s="9" t="n"/>
      <x:c r="C67" s="4" t="inlineStr">
        <x:is>
          <x:t xml:space="preserve">Basic Science and Technology</x:t>
        </x:is>
      </x:c>
      <x:c r="D67" s="5" t="n">
        <x:v>6</x:v>
      </x:c>
      <x:c r="E67" s="5" t="n">
        <x:v>18</x:v>
      </x:c>
      <x:c r="F67" s="5" t="n">
        <x:v>50</x:v>
      </x:c>
      <x:c r="G67" s="5">
        <x:f>D67+E67+F67</x:f>
        <x:v>74</x:v>
      </x:c>
      <x:c r="H67" s="5">
        <x:f>1+SUMPRODUCT(($C$2:$C$91=C67)*($G$2:$G$91&gt;G67))</x:f>
        <x:v>5</x:v>
      </x:c>
      <x:c r="I67" s="6" t="str">
        <x:f>IF(G67&gt;=70,"A",IF(G67&gt;=60,"B",IF(G67&gt;=50,"C",IF(G67&gt;=40,"D","E"))))</x:f>
        <x:v>A</x:v>
      </x:c>
      <x:c r="J67" s="4" t="str">
        <x:f>IF(G67&gt;=70,"Excellent",IF(G67&gt;=60,"Very Good",IF(G67&gt;=50,"Good",IF(G67&gt;=40,"Fair","Needs Improvement"))))</x:f>
        <x:v>Excellent</x:v>
      </x:c>
      <x:c r="K67" s="9" t="n"/>
      <x:c r="L67" s="9" t="n"/>
      <x:c r="M67" s="9" t="n"/>
      <x:c r="N67" s="9" t="n"/>
      <x:c r="O67" s="9" t="n"/>
      <x:c r="P67" s="9" t="n"/>
    </x:row>
    <x:row r="68">
      <x:c r="A68" s="9" t="n"/>
      <x:c r="B68" s="9" t="n"/>
      <x:c r="C68" s="4" t="inlineStr">
        <x:is>
          <x:t xml:space="preserve">Pre-Vocational Studies</x:t>
        </x:is>
      </x:c>
      <x:c r="D68" s="5" t="n">
        <x:v>8</x:v>
      </x:c>
      <x:c r="E68" s="5" t="n">
        <x:v>14</x:v>
      </x:c>
      <x:c r="F68" s="5" t="n">
        <x:v>55</x:v>
      </x:c>
      <x:c r="G68" s="5">
        <x:f>D68+E68+F68</x:f>
        <x:v>77</x:v>
      </x:c>
      <x:c r="H68" s="5">
        <x:f>1+SUMPRODUCT(($C$2:$C$91=C68)*($G$2:$G$91&gt;G68))</x:f>
        <x:v>1</x:v>
      </x:c>
      <x:c r="I68" s="6" t="str">
        <x:f>IF(G68&gt;=70,"A",IF(G68&gt;=60,"B",IF(G68&gt;=50,"C",IF(G68&gt;=40,"D","E"))))</x:f>
        <x:v>A</x:v>
      </x:c>
      <x:c r="J68" s="4" t="str">
        <x:f>IF(G68&gt;=70,"Excellent",IF(G68&gt;=60,"Very Good",IF(G68&gt;=50,"Good",IF(G68&gt;=40,"Fair","Needs Improvement"))))</x:f>
        <x:v>Excellent</x:v>
      </x:c>
      <x:c r="K68" s="9" t="n"/>
      <x:c r="L68" s="9" t="n"/>
      <x:c r="M68" s="9" t="n"/>
      <x:c r="N68" s="9" t="n"/>
      <x:c r="O68" s="9" t="n"/>
      <x:c r="P68" s="9" t="n"/>
    </x:row>
    <x:row r="69">
      <x:c r="A69" s="9" t="n"/>
      <x:c r="B69" s="9" t="n"/>
      <x:c r="C69" s="4" t="inlineStr">
        <x:is>
          <x:t xml:space="preserve">National Value</x:t>
        </x:is>
      </x:c>
      <x:c r="D69" s="5" t="n">
        <x:v>6</x:v>
      </x:c>
      <x:c r="E69" s="5" t="n">
        <x:v>12</x:v>
      </x:c>
      <x:c r="F69" s="5" t="n">
        <x:v>62</x:v>
      </x:c>
      <x:c r="G69" s="5">
        <x:f>D69+E69+F69</x:f>
        <x:v>80</x:v>
      </x:c>
      <x:c r="H69" s="5">
        <x:f>1+SUMPRODUCT(($C$2:$C$91=C69)*($G$2:$G$91&gt;G69))</x:f>
        <x:v>2</x:v>
      </x:c>
      <x:c r="I69" s="6" t="str">
        <x:f>IF(G69&gt;=70,"A",IF(G69&gt;=60,"B",IF(G69&gt;=50,"C",IF(G69&gt;=40,"D","E"))))</x:f>
        <x:v>A</x:v>
      </x:c>
      <x:c r="J69" s="4" t="str">
        <x:f>IF(G69&gt;=70,"Excellent",IF(G69&gt;=60,"Very Good",IF(G69&gt;=50,"Good",IF(G69&gt;=40,"Fair","Needs Improvement"))))</x:f>
        <x:v>Excellent</x:v>
      </x:c>
      <x:c r="K69" s="9" t="n"/>
      <x:c r="L69" s="9" t="n"/>
      <x:c r="M69" s="9" t="n"/>
      <x:c r="N69" s="9" t="n"/>
      <x:c r="O69" s="9" t="n"/>
      <x:c r="P69" s="9" t="n"/>
    </x:row>
    <x:row r="70">
      <x:c r="A70" s="9" t="n"/>
      <x:c r="B70" s="9" t="n"/>
      <x:c r="C70" s="4" t="inlineStr">
        <x:is>
          <x:t xml:space="preserve">Business Studies</x:t>
        </x:is>
      </x:c>
      <x:c r="D70" s="5" t="n">
        <x:v>5</x:v>
      </x:c>
      <x:c r="E70" s="5" t="n">
        <x:v>20</x:v>
      </x:c>
      <x:c r="F70" s="5" t="n">
        <x:v>54</x:v>
      </x:c>
      <x:c r="G70" s="5">
        <x:f>D70+E70+F70</x:f>
        <x:v>79</x:v>
      </x:c>
      <x:c r="H70" s="5">
        <x:f>1+SUMPRODUCT(($C$2:$C$91=C70)*($G$2:$G$91&gt;G70))</x:f>
        <x:v>4</x:v>
      </x:c>
      <x:c r="I70" s="6" t="str">
        <x:f>IF(G70&gt;=70,"A",IF(G70&gt;=60,"B",IF(G70&gt;=50,"C",IF(G70&gt;=40,"D","E"))))</x:f>
        <x:v>A</x:v>
      </x:c>
      <x:c r="J70" s="4" t="str">
        <x:f>IF(G70&gt;=70,"Excellent",IF(G70&gt;=60,"Very Good",IF(G70&gt;=50,"Good",IF(G70&gt;=40,"Fair","Needs Improvement"))))</x:f>
        <x:v>Excellent</x:v>
      </x:c>
      <x:c r="K70" s="9" t="n"/>
      <x:c r="L70" s="9" t="n"/>
      <x:c r="M70" s="9" t="n"/>
      <x:c r="N70" s="9" t="n"/>
      <x:c r="O70" s="9" t="n"/>
      <x:c r="P70" s="9" t="n"/>
    </x:row>
    <x:row r="71">
      <x:c r="A71" s="9" t="n"/>
      <x:c r="B71" s="9" t="n"/>
      <x:c r="C71" s="4" t="inlineStr">
        <x:is>
          <x:t xml:space="preserve">Creative and Cultural Art</x:t>
        </x:is>
      </x:c>
      <x:c r="D71" s="5" t="n">
        <x:v>6</x:v>
      </x:c>
      <x:c r="E71" s="5" t="n">
        <x:v>16</x:v>
      </x:c>
      <x:c r="F71" s="5" t="n">
        <x:v>55</x:v>
      </x:c>
      <x:c r="G71" s="5">
        <x:f>D71+E71+F71</x:f>
        <x:v>77</x:v>
      </x:c>
      <x:c r="H71" s="5">
        <x:f>1+SUMPRODUCT(($C$2:$C$91=C71)*($G$2:$G$91&gt;G71))</x:f>
        <x:v>2</x:v>
      </x:c>
      <x:c r="I71" s="6" t="str">
        <x:f>IF(G71&gt;=70,"A",IF(G71&gt;=60,"B",IF(G71&gt;=50,"C",IF(G71&gt;=40,"D","E"))))</x:f>
        <x:v>A</x:v>
      </x:c>
      <x:c r="J71" s="4" t="str">
        <x:f>IF(G71&gt;=70,"Excellent",IF(G71&gt;=60,"Very Good",IF(G71&gt;=50,"Good",IF(G71&gt;=40,"Fair","Needs Improvement"))))</x:f>
        <x:v>Excellent</x:v>
      </x:c>
      <x:c r="K71" s="9" t="n"/>
      <x:c r="L71" s="9" t="n"/>
      <x:c r="M71" s="9" t="n"/>
      <x:c r="N71" s="9" t="n"/>
      <x:c r="O71" s="9" t="n"/>
      <x:c r="P71" s="9" t="n"/>
    </x:row>
    <x:row r="72">
      <x:c r="A72" s="9" t="n"/>
      <x:c r="B72" s="9" t="n"/>
      <x:c r="C72" s="4" t="inlineStr">
        <x:is>
          <x:t xml:space="preserve">Christian Religious Studies</x:t>
        </x:is>
      </x:c>
      <x:c r="D72" s="5" t="n">
        <x:v>8</x:v>
      </x:c>
      <x:c r="E72" s="5" t="n">
        <x:v>17</x:v>
      </x:c>
      <x:c r="F72" s="5" t="n">
        <x:v>59</x:v>
      </x:c>
      <x:c r="G72" s="5">
        <x:f>D72+E72+F72</x:f>
        <x:v>84</x:v>
      </x:c>
      <x:c r="H72" s="5">
        <x:f>1+SUMPRODUCT(($C$2:$C$91=C72)*($G$2:$G$91&gt;G72))</x:f>
        <x:v>3</x:v>
      </x:c>
      <x:c r="I72" s="6" t="str">
        <x:f>IF(G72&gt;=70,"A",IF(G72&gt;=60,"B",IF(G72&gt;=50,"C",IF(G72&gt;=40,"D","E"))))</x:f>
        <x:v>A</x:v>
      </x:c>
      <x:c r="J72" s="4" t="str">
        <x:f>IF(G72&gt;=70,"Excellent",IF(G72&gt;=60,"Very Good",IF(G72&gt;=50,"Good",IF(G72&gt;=40,"Fair","Needs Improvement"))))</x:f>
        <x:v>Excellent</x:v>
      </x:c>
      <x:c r="K72" s="9" t="n"/>
      <x:c r="L72" s="9" t="n"/>
      <x:c r="M72" s="9" t="n"/>
      <x:c r="N72" s="9" t="n"/>
      <x:c r="O72" s="9" t="n"/>
      <x:c r="P72" s="9" t="n"/>
    </x:row>
    <x:row r="73">
      <x:c r="A73" s="10" t="n"/>
      <x:c r="B73" s="10" t="n"/>
      <x:c r="C73" s="4" t="inlineStr">
        <x:is>
          <x:t xml:space="preserve">History Studies</x:t>
        </x:is>
      </x:c>
      <x:c r="D73" s="5" t="n">
        <x:v>5</x:v>
      </x:c>
      <x:c r="E73" s="5" t="n">
        <x:v>12</x:v>
      </x:c>
      <x:c r="F73" s="5" t="n">
        <x:v>57</x:v>
      </x:c>
      <x:c r="G73" s="5">
        <x:f>D73+E73+F73</x:f>
        <x:v>74</x:v>
      </x:c>
      <x:c r="H73" s="5">
        <x:f>1+SUMPRODUCT(($C$2:$C$91=C73)*($G$2:$G$91&gt;G73))</x:f>
        <x:v>5</x:v>
      </x:c>
      <x:c r="I73" s="6" t="str">
        <x:f>IF(G73&gt;=70,"A",IF(G73&gt;=60,"B",IF(G73&gt;=50,"C",IF(G73&gt;=40,"D","E"))))</x:f>
        <x:v>A</x:v>
      </x:c>
      <x:c r="J73" s="4" t="str">
        <x:f>IF(G73&gt;=70,"Excellent",IF(G73&gt;=60,"Very Good",IF(G73&gt;=50,"Good",IF(G73&gt;=40,"Fair","Needs Improvement"))))</x:f>
        <x:v>Excellent</x:v>
      </x:c>
      <x:c r="K73" s="10" t="n"/>
      <x:c r="L73" s="10" t="n"/>
      <x:c r="M73" s="10" t="n"/>
      <x:c r="N73" s="10" t="n"/>
      <x:c r="O73" s="10" t="n"/>
      <x:c r="P73" s="10" t="n"/>
    </x:row>
    <x:row r="74">
      <x:c r="A74" s="2" t="inlineStr">
        <x:is>
          <x:t xml:space="preserve">EIS/2026/0009</x:t>
        </x:is>
      </x:c>
      <x:c r="B74" s="3" t="inlineStr">
        <x:is>
          <x:t xml:space="preserve">Emmanuel Nwankwo</x:t>
        </x:is>
      </x:c>
      <x:c r="C74" s="4" t="inlineStr">
        <x:is>
          <x:t xml:space="preserve">Mathematics</x:t>
        </x:is>
      </x:c>
      <x:c r="D74" s="5" t="n">
        <x:v>4</x:v>
      </x:c>
      <x:c r="E74" s="5" t="n">
        <x:v>12</x:v>
      </x:c>
      <x:c r="F74" s="5" t="n">
        <x:v>38</x:v>
      </x:c>
      <x:c r="G74" s="5">
        <x:f>D74+E74+F74</x:f>
        <x:v>54</x:v>
      </x:c>
      <x:c r="H74" s="5">
        <x:f>1+SUMPRODUCT(($C$2:$C$91=C74)*($G$2:$G$91&gt;G74))</x:f>
        <x:v>8</x:v>
      </x:c>
      <x:c r="I74" s="6" t="str">
        <x:f>IF(G74&gt;=70,"A",IF(G74&gt;=60,"B",IF(G74&gt;=50,"C",IF(G74&gt;=40,"D","E"))))</x:f>
        <x:v>C</x:v>
      </x:c>
      <x:c r="J74" s="4" t="str">
        <x:f>IF(G74&gt;=70,"Excellent",IF(G74&gt;=60,"Very Good",IF(G74&gt;=50,"Good",IF(G74&gt;=40,"Fair","Needs Improvement"))))</x:f>
        <x:v>Good</x:v>
      </x:c>
      <x:c r="K74" s="7">
        <x:f>SUM(D74:D82)</x:f>
        <x:v>58</x:v>
      </x:c>
      <x:c r="L74" s="7">
        <x:f>SUM(E74:E82)</x:f>
        <x:v>111</x:v>
      </x:c>
      <x:c r="M74" s="7">
        <x:f>SUM(F74:F82)</x:f>
        <x:v>386</x:v>
      </x:c>
      <x:c r="N74" s="7">
        <x:f>SUM(G74:G82)</x:f>
        <x:v>555</x:v>
      </x:c>
      <x:c r="O74" s="8">
        <x:f>ROUND(AVERAGE(G74:G82),2)</x:f>
        <x:v>61.67</x:v>
      </x:c>
      <x:c r="P74" s="8">
        <x:f>ROUND(AVERAGE($G$2:$G$91),2)</x:f>
        <x:v>67.87</x:v>
      </x:c>
    </x:row>
    <x:row r="75">
      <x:c r="A75" s="9" t="n"/>
      <x:c r="B75" s="9" t="n"/>
      <x:c r="C75" s="4" t="inlineStr">
        <x:is>
          <x:t xml:space="preserve">English Studies</x:t>
        </x:is>
      </x:c>
      <x:c r="D75" s="5" t="n">
        <x:v>8</x:v>
      </x:c>
      <x:c r="E75" s="5" t="n">
        <x:v>15</x:v>
      </x:c>
      <x:c r="F75" s="5" t="n">
        <x:v>46</x:v>
      </x:c>
      <x:c r="G75" s="5">
        <x:f>D75+E75+F75</x:f>
        <x:v>69</x:v>
      </x:c>
      <x:c r="H75" s="5">
        <x:f>1+SUMPRODUCT(($C$2:$C$91=C75)*($G$2:$G$91&gt;G75))</x:f>
        <x:v>5</x:v>
      </x:c>
      <x:c r="I75" s="6" t="str">
        <x:f>IF(G75&gt;=70,"A",IF(G75&gt;=60,"B",IF(G75&gt;=50,"C",IF(G75&gt;=40,"D","E"))))</x:f>
        <x:v>B</x:v>
      </x:c>
      <x:c r="J75" s="4" t="str">
        <x:f>IF(G75&gt;=70,"Excellent",IF(G75&gt;=60,"Very Good",IF(G75&gt;=50,"Good",IF(G75&gt;=40,"Fair","Needs Improvement"))))</x:f>
        <x:v>Very Good</x:v>
      </x:c>
      <x:c r="K75" s="9" t="n"/>
      <x:c r="L75" s="9" t="n"/>
      <x:c r="M75" s="9" t="n"/>
      <x:c r="N75" s="9" t="n"/>
      <x:c r="O75" s="9" t="n"/>
      <x:c r="P75" s="9" t="n"/>
    </x:row>
    <x:row r="76">
      <x:c r="A76" s="9" t="n"/>
      <x:c r="B76" s="9" t="n"/>
      <x:c r="C76" s="4" t="inlineStr">
        <x:is>
          <x:t xml:space="preserve">Basic Science and Technology</x:t>
        </x:is>
      </x:c>
      <x:c r="D76" s="5" t="n">
        <x:v>5</x:v>
      </x:c>
      <x:c r="E76" s="5" t="n">
        <x:v>12</x:v>
      </x:c>
      <x:c r="F76" s="5" t="n">
        <x:v>56</x:v>
      </x:c>
      <x:c r="G76" s="5">
        <x:f>D76+E76+F76</x:f>
        <x:v>73</x:v>
      </x:c>
      <x:c r="H76" s="5">
        <x:f>1+SUMPRODUCT(($C$2:$C$91=C76)*($G$2:$G$91&gt;G76))</x:f>
        <x:v>6</x:v>
      </x:c>
      <x:c r="I76" s="6" t="str">
        <x:f>IF(G76&gt;=70,"A",IF(G76&gt;=60,"B",IF(G76&gt;=50,"C",IF(G76&gt;=40,"D","E"))))</x:f>
        <x:v>A</x:v>
      </x:c>
      <x:c r="J76" s="4" t="str">
        <x:f>IF(G76&gt;=70,"Excellent",IF(G76&gt;=60,"Very Good",IF(G76&gt;=50,"Good",IF(G76&gt;=40,"Fair","Needs Improvement"))))</x:f>
        <x:v>Excellent</x:v>
      </x:c>
      <x:c r="K76" s="9" t="n"/>
      <x:c r="L76" s="9" t="n"/>
      <x:c r="M76" s="9" t="n"/>
      <x:c r="N76" s="9" t="n"/>
      <x:c r="O76" s="9" t="n"/>
      <x:c r="P76" s="9" t="n"/>
    </x:row>
    <x:row r="77">
      <x:c r="A77" s="9" t="n"/>
      <x:c r="B77" s="9" t="n"/>
      <x:c r="C77" s="4" t="inlineStr">
        <x:is>
          <x:t xml:space="preserve">Pre-Vocational Studies</x:t>
        </x:is>
      </x:c>
      <x:c r="D77" s="5" t="n">
        <x:v>3</x:v>
      </x:c>
      <x:c r="E77" s="5" t="n">
        <x:v>16</x:v>
      </x:c>
      <x:c r="F77" s="5" t="n">
        <x:v>41</x:v>
      </x:c>
      <x:c r="G77" s="5">
        <x:f>D77+E77+F77</x:f>
        <x:v>60</x:v>
      </x:c>
      <x:c r="H77" s="5">
        <x:f>1+SUMPRODUCT(($C$2:$C$91=C77)*($G$2:$G$91&gt;G77))</x:f>
        <x:v>6</x:v>
      </x:c>
      <x:c r="I77" s="6" t="str">
        <x:f>IF(G77&gt;=70,"A",IF(G77&gt;=60,"B",IF(G77&gt;=50,"C",IF(G77&gt;=40,"D","E"))))</x:f>
        <x:v>B</x:v>
      </x:c>
      <x:c r="J77" s="4" t="str">
        <x:f>IF(G77&gt;=70,"Excellent",IF(G77&gt;=60,"Very Good",IF(G77&gt;=50,"Good",IF(G77&gt;=40,"Fair","Needs Improvement"))))</x:f>
        <x:v>Very Good</x:v>
      </x:c>
      <x:c r="K77" s="9" t="n"/>
      <x:c r="L77" s="9" t="n"/>
      <x:c r="M77" s="9" t="n"/>
      <x:c r="N77" s="9" t="n"/>
      <x:c r="O77" s="9" t="n"/>
      <x:c r="P77" s="9" t="n"/>
    </x:row>
    <x:row r="78">
      <x:c r="A78" s="9" t="n"/>
      <x:c r="B78" s="9" t="n"/>
      <x:c r="C78" s="4" t="inlineStr">
        <x:is>
          <x:t xml:space="preserve">National Value</x:t>
        </x:is>
      </x:c>
      <x:c r="D78" s="5" t="n">
        <x:v>10</x:v>
      </x:c>
      <x:c r="E78" s="5" t="n">
        <x:v>15</x:v>
      </x:c>
      <x:c r="F78" s="5" t="n">
        <x:v>46</x:v>
      </x:c>
      <x:c r="G78" s="5">
        <x:f>D78+E78+F78</x:f>
        <x:v>71</x:v>
      </x:c>
      <x:c r="H78" s="5">
        <x:f>1+SUMPRODUCT(($C$2:$C$91=C78)*($G$2:$G$91&gt;G78))</x:f>
        <x:v>6</x:v>
      </x:c>
      <x:c r="I78" s="6" t="str">
        <x:f>IF(G78&gt;=70,"A",IF(G78&gt;=60,"B",IF(G78&gt;=50,"C",IF(G78&gt;=40,"D","E"))))</x:f>
        <x:v>A</x:v>
      </x:c>
      <x:c r="J78" s="4" t="str">
        <x:f>IF(G78&gt;=70,"Excellent",IF(G78&gt;=60,"Very Good",IF(G78&gt;=50,"Good",IF(G78&gt;=40,"Fair","Needs Improvement"))))</x:f>
        <x:v>Excellent</x:v>
      </x:c>
      <x:c r="K78" s="9" t="n"/>
      <x:c r="L78" s="9" t="n"/>
      <x:c r="M78" s="9" t="n"/>
      <x:c r="N78" s="9" t="n"/>
      <x:c r="O78" s="9" t="n"/>
      <x:c r="P78" s="9" t="n"/>
    </x:row>
    <x:row r="79">
      <x:c r="A79" s="9" t="n"/>
      <x:c r="B79" s="9" t="n"/>
      <x:c r="C79" s="4" t="inlineStr">
        <x:is>
          <x:t xml:space="preserve">Business Studies</x:t>
        </x:is>
      </x:c>
      <x:c r="D79" s="5" t="n">
        <x:v>6</x:v>
      </x:c>
      <x:c r="E79" s="5" t="n">
        <x:v>12</x:v>
      </x:c>
      <x:c r="F79" s="5" t="n">
        <x:v>29</x:v>
      </x:c>
      <x:c r="G79" s="5">
        <x:f>D79+E79+F79</x:f>
        <x:v>47</x:v>
      </x:c>
      <x:c r="H79" s="5">
        <x:f>1+SUMPRODUCT(($C$2:$C$91=C79)*($G$2:$G$91&gt;G79))</x:f>
        <x:v>10</x:v>
      </x:c>
      <x:c r="I79" s="6" t="str">
        <x:f>IF(G79&gt;=70,"A",IF(G79&gt;=60,"B",IF(G79&gt;=50,"C",IF(G79&gt;=40,"D","E"))))</x:f>
        <x:v>D</x:v>
      </x:c>
      <x:c r="J79" s="4" t="str">
        <x:f>IF(G79&gt;=70,"Excellent",IF(G79&gt;=60,"Very Good",IF(G79&gt;=50,"Good",IF(G79&gt;=40,"Fair","Needs Improvement"))))</x:f>
        <x:v>Fair</x:v>
      </x:c>
      <x:c r="K79" s="9" t="n"/>
      <x:c r="L79" s="9" t="n"/>
      <x:c r="M79" s="9" t="n"/>
      <x:c r="N79" s="9" t="n"/>
      <x:c r="O79" s="9" t="n"/>
      <x:c r="P79" s="9" t="n"/>
    </x:row>
    <x:row r="80">
      <x:c r="A80" s="9" t="n"/>
      <x:c r="B80" s="9" t="n"/>
      <x:c r="C80" s="4" t="inlineStr">
        <x:is>
          <x:t xml:space="preserve">Creative and Cultural Art</x:t>
        </x:is>
      </x:c>
      <x:c r="D80" s="5" t="n">
        <x:v>5</x:v>
      </x:c>
      <x:c r="E80" s="5" t="n">
        <x:v>9</x:v>
      </x:c>
      <x:c r="F80" s="5" t="n">
        <x:v>57</x:v>
      </x:c>
      <x:c r="G80" s="5">
        <x:f>D80+E80+F80</x:f>
        <x:v>71</x:v>
      </x:c>
      <x:c r="H80" s="5">
        <x:f>1+SUMPRODUCT(($C$2:$C$91=C80)*($G$2:$G$91&gt;G80))</x:f>
        <x:v>5</x:v>
      </x:c>
      <x:c r="I80" s="6" t="str">
        <x:f>IF(G80&gt;=70,"A",IF(G80&gt;=60,"B",IF(G80&gt;=50,"C",IF(G80&gt;=40,"D","E"))))</x:f>
        <x:v>A</x:v>
      </x:c>
      <x:c r="J80" s="4" t="str">
        <x:f>IF(G80&gt;=70,"Excellent",IF(G80&gt;=60,"Very Good",IF(G80&gt;=50,"Good",IF(G80&gt;=40,"Fair","Needs Improvement"))))</x:f>
        <x:v>Excellent</x:v>
      </x:c>
      <x:c r="K80" s="9" t="n"/>
      <x:c r="L80" s="9" t="n"/>
      <x:c r="M80" s="9" t="n"/>
      <x:c r="N80" s="9" t="n"/>
      <x:c r="O80" s="9" t="n"/>
      <x:c r="P80" s="9" t="n"/>
    </x:row>
    <x:row r="81">
      <x:c r="A81" s="9" t="n"/>
      <x:c r="B81" s="9" t="n"/>
      <x:c r="C81" s="4" t="inlineStr">
        <x:is>
          <x:t xml:space="preserve">Christian Religious Studies</x:t>
        </x:is>
      </x:c>
      <x:c r="D81" s="5" t="n">
        <x:v>10</x:v>
      </x:c>
      <x:c r="E81" s="5" t="n">
        <x:v>11</x:v>
      </x:c>
      <x:c r="F81" s="5" t="n">
        <x:v>42</x:v>
      </x:c>
      <x:c r="G81" s="5">
        <x:f>D81+E81+F81</x:f>
        <x:v>63</x:v>
      </x:c>
      <x:c r="H81" s="5">
        <x:f>1+SUMPRODUCT(($C$2:$C$91=C81)*($G$2:$G$91&gt;G81))</x:f>
        <x:v>7</x:v>
      </x:c>
      <x:c r="I81" s="6" t="str">
        <x:f>IF(G81&gt;=70,"A",IF(G81&gt;=60,"B",IF(G81&gt;=50,"C",IF(G81&gt;=40,"D","E"))))</x:f>
        <x:v>B</x:v>
      </x:c>
      <x:c r="J81" s="4" t="str">
        <x:f>IF(G81&gt;=70,"Excellent",IF(G81&gt;=60,"Very Good",IF(G81&gt;=50,"Good",IF(G81&gt;=40,"Fair","Needs Improvement"))))</x:f>
        <x:v>Very Good</x:v>
      </x:c>
      <x:c r="K81" s="9" t="n"/>
      <x:c r="L81" s="9" t="n"/>
      <x:c r="M81" s="9" t="n"/>
      <x:c r="N81" s="9" t="n"/>
      <x:c r="O81" s="9" t="n"/>
      <x:c r="P81" s="9" t="n"/>
    </x:row>
    <x:row r="82">
      <x:c r="A82" s="10" t="n"/>
      <x:c r="B82" s="10" t="n"/>
      <x:c r="C82" s="4" t="inlineStr">
        <x:is>
          <x:t xml:space="preserve">History Studies</x:t>
        </x:is>
      </x:c>
      <x:c r="D82" s="5" t="n">
        <x:v>7</x:v>
      </x:c>
      <x:c r="E82" s="5" t="n">
        <x:v>9</x:v>
      </x:c>
      <x:c r="F82" s="5" t="n">
        <x:v>31</x:v>
      </x:c>
      <x:c r="G82" s="5">
        <x:f>D82+E82+F82</x:f>
        <x:v>47</x:v>
      </x:c>
      <x:c r="H82" s="5">
        <x:f>1+SUMPRODUCT(($C$2:$C$91=C82)*($G$2:$G$91&gt;G82))</x:f>
        <x:v>9</x:v>
      </x:c>
      <x:c r="I82" s="6" t="str">
        <x:f>IF(G82&gt;=70,"A",IF(G82&gt;=60,"B",IF(G82&gt;=50,"C",IF(G82&gt;=40,"D","E"))))</x:f>
        <x:v>D</x:v>
      </x:c>
      <x:c r="J82" s="4" t="str">
        <x:f>IF(G82&gt;=70,"Excellent",IF(G82&gt;=60,"Very Good",IF(G82&gt;=50,"Good",IF(G82&gt;=40,"Fair","Needs Improvement"))))</x:f>
        <x:v>Fair</x:v>
      </x:c>
      <x:c r="K82" s="10" t="n"/>
      <x:c r="L82" s="10" t="n"/>
      <x:c r="M82" s="10" t="n"/>
      <x:c r="N82" s="10" t="n"/>
      <x:c r="O82" s="10" t="n"/>
      <x:c r="P82" s="10" t="n"/>
    </x:row>
    <x:row r="83">
      <x:c r="A83" s="2" t="inlineStr">
        <x:is>
          <x:t xml:space="preserve">EIS/2026/0010</x:t>
        </x:is>
      </x:c>
      <x:c r="B83" s="3" t="inlineStr">
        <x:is>
          <x:t xml:space="preserve">Faith Adebayo</x:t>
        </x:is>
      </x:c>
      <x:c r="C83" s="4" t="inlineStr">
        <x:is>
          <x:t xml:space="preserve">Mathematics</x:t>
        </x:is>
      </x:c>
      <x:c r="D83" s="5" t="n">
        <x:v>6</x:v>
      </x:c>
      <x:c r="E83" s="5" t="n">
        <x:v>14</x:v>
      </x:c>
      <x:c r="F83" s="5" t="n">
        <x:v>35</x:v>
      </x:c>
      <x:c r="G83" s="5">
        <x:f>D83+E83+F83</x:f>
        <x:v>55</x:v>
      </x:c>
      <x:c r="H83" s="5">
        <x:f>1+SUMPRODUCT(($C$2:$C$91=C83)*($G$2:$G$91&gt;G83))</x:f>
        <x:v>7</x:v>
      </x:c>
      <x:c r="I83" s="6" t="str">
        <x:f>IF(G83&gt;=70,"A",IF(G83&gt;=60,"B",IF(G83&gt;=50,"C",IF(G83&gt;=40,"D","E"))))</x:f>
        <x:v>C</x:v>
      </x:c>
      <x:c r="J83" s="4" t="str">
        <x:f>IF(G83&gt;=70,"Excellent",IF(G83&gt;=60,"Very Good",IF(G83&gt;=50,"Good",IF(G83&gt;=40,"Fair","Needs Improvement"))))</x:f>
        <x:v>Good</x:v>
      </x:c>
      <x:c r="K83" s="7">
        <x:f>SUM(D83:D91)</x:f>
        <x:v>53</x:v>
      </x:c>
      <x:c r="L83" s="7">
        <x:f>SUM(E83:E91)</x:f>
        <x:v>117</x:v>
      </x:c>
      <x:c r="M83" s="7">
        <x:f>SUM(F83:F91)</x:f>
        <x:v>381</x:v>
      </x:c>
      <x:c r="N83" s="7">
        <x:f>SUM(G83:G91)</x:f>
        <x:v>551</x:v>
      </x:c>
      <x:c r="O83" s="8">
        <x:f>ROUND(AVERAGE(G83:G91),2)</x:f>
        <x:v>61.22</x:v>
      </x:c>
      <x:c r="P83" s="8">
        <x:f>ROUND(AVERAGE($G$2:$G$91),2)</x:f>
        <x:v>67.87</x:v>
      </x:c>
    </x:row>
    <x:row r="84">
      <x:c r="A84" s="9" t="n"/>
      <x:c r="B84" s="9" t="n"/>
      <x:c r="C84" s="4" t="inlineStr">
        <x:is>
          <x:t xml:space="preserve">English Studies</x:t>
        </x:is>
      </x:c>
      <x:c r="D84" s="5" t="n">
        <x:v>5</x:v>
      </x:c>
      <x:c r="E84" s="5" t="n">
        <x:v>15</x:v>
      </x:c>
      <x:c r="F84" s="5" t="n">
        <x:v>30</x:v>
      </x:c>
      <x:c r="G84" s="5">
        <x:f>D84+E84+F84</x:f>
        <x:v>50</x:v>
      </x:c>
      <x:c r="H84" s="5">
        <x:f>1+SUMPRODUCT(($C$2:$C$91=C84)*($G$2:$G$91&gt;G84))</x:f>
        <x:v>8</x:v>
      </x:c>
      <x:c r="I84" s="6" t="str">
        <x:f>IF(G84&gt;=70,"A",IF(G84&gt;=60,"B",IF(G84&gt;=50,"C",IF(G84&gt;=40,"D","E"))))</x:f>
        <x:v>C</x:v>
      </x:c>
      <x:c r="J84" s="4" t="str">
        <x:f>IF(G84&gt;=70,"Excellent",IF(G84&gt;=60,"Very Good",IF(G84&gt;=50,"Good",IF(G84&gt;=40,"Fair","Needs Improvement"))))</x:f>
        <x:v>Good</x:v>
      </x:c>
      <x:c r="K84" s="9" t="n"/>
      <x:c r="L84" s="9" t="n"/>
      <x:c r="M84" s="9" t="n"/>
      <x:c r="N84" s="9" t="n"/>
      <x:c r="O84" s="9" t="n"/>
      <x:c r="P84" s="9" t="n"/>
    </x:row>
    <x:row r="85">
      <x:c r="A85" s="9" t="n"/>
      <x:c r="B85" s="9" t="n"/>
      <x:c r="C85" s="4" t="inlineStr">
        <x:is>
          <x:t xml:space="preserve">Basic Science and Technology</x:t>
        </x:is>
      </x:c>
      <x:c r="D85" s="5" t="n">
        <x:v>6</x:v>
      </x:c>
      <x:c r="E85" s="5" t="n">
        <x:v>13</x:v>
      </x:c>
      <x:c r="F85" s="5" t="n">
        <x:v>56</x:v>
      </x:c>
      <x:c r="G85" s="5">
        <x:f>D85+E85+F85</x:f>
        <x:v>75</x:v>
      </x:c>
      <x:c r="H85" s="5">
        <x:f>1+SUMPRODUCT(($C$2:$C$91=C85)*($G$2:$G$91&gt;G85))</x:f>
        <x:v>4</x:v>
      </x:c>
      <x:c r="I85" s="6" t="str">
        <x:f>IF(G85&gt;=70,"A",IF(G85&gt;=60,"B",IF(G85&gt;=50,"C",IF(G85&gt;=40,"D","E"))))</x:f>
        <x:v>A</x:v>
      </x:c>
      <x:c r="J85" s="4" t="str">
        <x:f>IF(G85&gt;=70,"Excellent",IF(G85&gt;=60,"Very Good",IF(G85&gt;=50,"Good",IF(G85&gt;=40,"Fair","Needs Improvement"))))</x:f>
        <x:v>Excellent</x:v>
      </x:c>
      <x:c r="K85" s="9" t="n"/>
      <x:c r="L85" s="9" t="n"/>
      <x:c r="M85" s="9" t="n"/>
      <x:c r="N85" s="9" t="n"/>
      <x:c r="O85" s="9" t="n"/>
      <x:c r="P85" s="9" t="n"/>
    </x:row>
    <x:row r="86">
      <x:c r="A86" s="9" t="n"/>
      <x:c r="B86" s="9" t="n"/>
      <x:c r="C86" s="4" t="inlineStr">
        <x:is>
          <x:t xml:space="preserve">Pre-Vocational Studies</x:t>
        </x:is>
      </x:c>
      <x:c r="D86" s="5" t="n">
        <x:v>4</x:v>
      </x:c>
      <x:c r="E86" s="5" t="n">
        <x:v>11</x:v>
      </x:c>
      <x:c r="F86" s="5" t="n">
        <x:v>43</x:v>
      </x:c>
      <x:c r="G86" s="5">
        <x:f>D86+E86+F86</x:f>
        <x:v>58</x:v>
      </x:c>
      <x:c r="H86" s="5">
        <x:f>1+SUMPRODUCT(($C$2:$C$91=C86)*($G$2:$G$91&gt;G86))</x:f>
        <x:v>7</x:v>
      </x:c>
      <x:c r="I86" s="6" t="str">
        <x:f>IF(G86&gt;=70,"A",IF(G86&gt;=60,"B",IF(G86&gt;=50,"C",IF(G86&gt;=40,"D","E"))))</x:f>
        <x:v>C</x:v>
      </x:c>
      <x:c r="J86" s="4" t="str">
        <x:f>IF(G86&gt;=70,"Excellent",IF(G86&gt;=60,"Very Good",IF(G86&gt;=50,"Good",IF(G86&gt;=40,"Fair","Needs Improvement"))))</x:f>
        <x:v>Good</x:v>
      </x:c>
      <x:c r="K86" s="9" t="n"/>
      <x:c r="L86" s="9" t="n"/>
      <x:c r="M86" s="9" t="n"/>
      <x:c r="N86" s="9" t="n"/>
      <x:c r="O86" s="9" t="n"/>
      <x:c r="P86" s="9" t="n"/>
    </x:row>
    <x:row r="87">
      <x:c r="A87" s="9" t="n"/>
      <x:c r="B87" s="9" t="n"/>
      <x:c r="C87" s="4" t="inlineStr">
        <x:is>
          <x:t xml:space="preserve">National Value</x:t>
        </x:is>
      </x:c>
      <x:c r="D87" s="5" t="n">
        <x:v>9</x:v>
      </x:c>
      <x:c r="E87" s="5" t="n">
        <x:v>18</x:v>
      </x:c>
      <x:c r="F87" s="5" t="n">
        <x:v>42</x:v>
      </x:c>
      <x:c r="G87" s="5">
        <x:f>D87+E87+F87</x:f>
        <x:v>69</x:v>
      </x:c>
      <x:c r="H87" s="5">
        <x:f>1+SUMPRODUCT(($C$2:$C$91=C87)*($G$2:$G$91&gt;G87))</x:f>
        <x:v>7</x:v>
      </x:c>
      <x:c r="I87" s="6" t="str">
        <x:f>IF(G87&gt;=70,"A",IF(G87&gt;=60,"B",IF(G87&gt;=50,"C",IF(G87&gt;=40,"D","E"))))</x:f>
        <x:v>B</x:v>
      </x:c>
      <x:c r="J87" s="4" t="str">
        <x:f>IF(G87&gt;=70,"Excellent",IF(G87&gt;=60,"Very Good",IF(G87&gt;=50,"Good",IF(G87&gt;=40,"Fair","Needs Improvement"))))</x:f>
        <x:v>Very Good</x:v>
      </x:c>
      <x:c r="K87" s="9" t="n"/>
      <x:c r="L87" s="9" t="n"/>
      <x:c r="M87" s="9" t="n"/>
      <x:c r="N87" s="9" t="n"/>
      <x:c r="O87" s="9" t="n"/>
      <x:c r="P87" s="9" t="n"/>
    </x:row>
    <x:row r="88">
      <x:c r="A88" s="9" t="n"/>
      <x:c r="B88" s="9" t="n"/>
      <x:c r="C88" s="4" t="inlineStr">
        <x:is>
          <x:t xml:space="preserve">Business Studies</x:t>
        </x:is>
      </x:c>
      <x:c r="D88" s="5" t="n">
        <x:v>5</x:v>
      </x:c>
      <x:c r="E88" s="5" t="n">
        <x:v>8</x:v>
      </x:c>
      <x:c r="F88" s="5" t="n">
        <x:v>49</x:v>
      </x:c>
      <x:c r="G88" s="5">
        <x:f>D88+E88+F88</x:f>
        <x:v>62</x:v>
      </x:c>
      <x:c r="H88" s="5">
        <x:f>1+SUMPRODUCT(($C$2:$C$91=C88)*($G$2:$G$91&gt;G88))</x:f>
        <x:v>8</x:v>
      </x:c>
      <x:c r="I88" s="6" t="str">
        <x:f>IF(G88&gt;=70,"A",IF(G88&gt;=60,"B",IF(G88&gt;=50,"C",IF(G88&gt;=40,"D","E"))))</x:f>
        <x:v>B</x:v>
      </x:c>
      <x:c r="J88" s="4" t="str">
        <x:f>IF(G88&gt;=70,"Excellent",IF(G88&gt;=60,"Very Good",IF(G88&gt;=50,"Good",IF(G88&gt;=40,"Fair","Needs Improvement"))))</x:f>
        <x:v>Very Good</x:v>
      </x:c>
      <x:c r="K88" s="9" t="n"/>
      <x:c r="L88" s="9" t="n"/>
      <x:c r="M88" s="9" t="n"/>
      <x:c r="N88" s="9" t="n"/>
      <x:c r="O88" s="9" t="n"/>
      <x:c r="P88" s="9" t="n"/>
    </x:row>
    <x:row r="89">
      <x:c r="A89" s="9" t="n"/>
      <x:c r="B89" s="9" t="n"/>
      <x:c r="C89" s="4" t="inlineStr">
        <x:is>
          <x:t xml:space="preserve">Creative and Cultural Art</x:t>
        </x:is>
      </x:c>
      <x:c r="D89" s="5" t="n">
        <x:v>6</x:v>
      </x:c>
      <x:c r="E89" s="5" t="n">
        <x:v>15</x:v>
      </x:c>
      <x:c r="F89" s="5" t="n">
        <x:v>44</x:v>
      </x:c>
      <x:c r="G89" s="5">
        <x:f>D89+E89+F89</x:f>
        <x:v>65</x:v>
      </x:c>
      <x:c r="H89" s="5">
        <x:f>1+SUMPRODUCT(($C$2:$C$91=C89)*($G$2:$G$91&gt;G89))</x:f>
        <x:v>9</x:v>
      </x:c>
      <x:c r="I89" s="6" t="str">
        <x:f>IF(G89&gt;=70,"A",IF(G89&gt;=60,"B",IF(G89&gt;=50,"C",IF(G89&gt;=40,"D","E"))))</x:f>
        <x:v>B</x:v>
      </x:c>
      <x:c r="J89" s="4" t="str">
        <x:f>IF(G89&gt;=70,"Excellent",IF(G89&gt;=60,"Very Good",IF(G89&gt;=50,"Good",IF(G89&gt;=40,"Fair","Needs Improvement"))))</x:f>
        <x:v>Very Good</x:v>
      </x:c>
      <x:c r="K89" s="9" t="n"/>
      <x:c r="L89" s="9" t="n"/>
      <x:c r="M89" s="9" t="n"/>
      <x:c r="N89" s="9" t="n"/>
      <x:c r="O89" s="9" t="n"/>
      <x:c r="P89" s="9" t="n"/>
    </x:row>
    <x:row r="90">
      <x:c r="A90" s="9" t="n"/>
      <x:c r="B90" s="9" t="n"/>
      <x:c r="C90" s="4" t="inlineStr">
        <x:is>
          <x:t xml:space="preserve">Christian Religious Studies</x:t>
        </x:is>
      </x:c>
      <x:c r="D90" s="5" t="n">
        <x:v>7</x:v>
      </x:c>
      <x:c r="E90" s="5" t="n">
        <x:v>9</x:v>
      </x:c>
      <x:c r="F90" s="5" t="n">
        <x:v>34</x:v>
      </x:c>
      <x:c r="G90" s="5">
        <x:f>D90+E90+F90</x:f>
        <x:v>50</x:v>
      </x:c>
      <x:c r="H90" s="5">
        <x:f>1+SUMPRODUCT(($C$2:$C$91=C90)*($G$2:$G$91&gt;G90))</x:f>
        <x:v>9</x:v>
      </x:c>
      <x:c r="I90" s="6" t="str">
        <x:f>IF(G90&gt;=70,"A",IF(G90&gt;=60,"B",IF(G90&gt;=50,"C",IF(G90&gt;=40,"D","E"))))</x:f>
        <x:v>C</x:v>
      </x:c>
      <x:c r="J90" s="4" t="str">
        <x:f>IF(G90&gt;=70,"Excellent",IF(G90&gt;=60,"Very Good",IF(G90&gt;=50,"Good",IF(G90&gt;=40,"Fair","Needs Improvement"))))</x:f>
        <x:v>Good</x:v>
      </x:c>
      <x:c r="K90" s="9" t="n"/>
      <x:c r="L90" s="9" t="n"/>
      <x:c r="M90" s="9" t="n"/>
      <x:c r="N90" s="9" t="n"/>
      <x:c r="O90" s="9" t="n"/>
      <x:c r="P90" s="9" t="n"/>
    </x:row>
    <x:row r="91">
      <x:c r="A91" s="10" t="n"/>
      <x:c r="B91" s="10" t="n"/>
      <x:c r="C91" s="4" t="inlineStr">
        <x:is>
          <x:t xml:space="preserve">History Studies</x:t>
        </x:is>
      </x:c>
      <x:c r="D91" s="5" t="n">
        <x:v>5</x:v>
      </x:c>
      <x:c r="E91" s="5" t="n">
        <x:v>14</x:v>
      </x:c>
      <x:c r="F91" s="5" t="n">
        <x:v>48</x:v>
      </x:c>
      <x:c r="G91" s="5">
        <x:f>D91+E91+F91</x:f>
        <x:v>67</x:v>
      </x:c>
      <x:c r="H91" s="5">
        <x:f>1+SUMPRODUCT(($C$2:$C$91=C91)*($G$2:$G$91&gt;G91))</x:f>
        <x:v>6</x:v>
      </x:c>
      <x:c r="I91" s="6" t="str">
        <x:f>IF(G91&gt;=70,"A",IF(G91&gt;=60,"B",IF(G91&gt;=50,"C",IF(G91&gt;=40,"D","E"))))</x:f>
        <x:v>B</x:v>
      </x:c>
      <x:c r="J91" s="4" t="str">
        <x:f>IF(G91&gt;=70,"Excellent",IF(G91&gt;=60,"Very Good",IF(G91&gt;=50,"Good",IF(G91&gt;=40,"Fair","Needs Improvement"))))</x:f>
        <x:v>Very Good</x:v>
      </x:c>
      <x:c r="K91" s="10" t="n"/>
      <x:c r="L91" s="10" t="n"/>
      <x:c r="M91" s="10" t="n"/>
      <x:c r="N91" s="10" t="n"/>
      <x:c r="O91" s="10" t="n"/>
      <x:c r="P91" s="10" t="n"/>
    </x:row>
  </x:sheetData>
  <x:mergeCells>
    <x:mergeCell ref="P65:P73"/>
    <x:mergeCell ref="P2:P10"/>
    <x:mergeCell ref="L38:L46"/>
    <x:mergeCell ref="B65:B73"/>
    <x:mergeCell ref="N38:N46"/>
    <x:mergeCell ref="B74:B82"/>
    <x:mergeCell ref="A20:A28"/>
    <x:mergeCell ref="L56:L64"/>
    <x:mergeCell ref="A29:A37"/>
    <x:mergeCell ref="K38:K46"/>
    <x:mergeCell ref="M29:M37"/>
    <x:mergeCell ref="N83:N91"/>
    <x:mergeCell ref="P83:P91"/>
    <x:mergeCell ref="B20:B28"/>
    <x:mergeCell ref="M56:M64"/>
    <x:mergeCell ref="L11:L19"/>
    <x:mergeCell ref="N11:N19"/>
    <x:mergeCell ref="N20:N28"/>
    <x:mergeCell ref="P20:P28"/>
    <x:mergeCell ref="P29:P37"/>
    <x:mergeCell ref="K65:K73"/>
    <x:mergeCell ref="K74:K82"/>
    <x:mergeCell ref="M74:M82"/>
    <x:mergeCell ref="O74:O82"/>
    <x:mergeCell ref="A2:A10"/>
    <x:mergeCell ref="K2:K10"/>
    <x:mergeCell ref="P47:P55"/>
    <x:mergeCell ref="O11:O19"/>
    <x:mergeCell ref="L65:L73"/>
    <x:mergeCell ref="N65:N73"/>
    <x:mergeCell ref="A47:A55"/>
    <x:mergeCell ref="N74:N82"/>
    <x:mergeCell ref="P74:P82"/>
    <x:mergeCell ref="M47:M55"/>
    <x:mergeCell ref="L2:L10"/>
    <x:mergeCell ref="A11:A19"/>
    <x:mergeCell ref="B11:B19"/>
    <x:mergeCell ref="N2:N10"/>
    <x:mergeCell ref="A65:A73"/>
    <x:mergeCell ref="L83:L91"/>
    <x:mergeCell ref="A74:A82"/>
    <x:mergeCell ref="O29:O37"/>
    <x:mergeCell ref="A56:A64"/>
    <x:mergeCell ref="K56:K64"/>
    <x:mergeCell ref="M65:M73"/>
    <x:mergeCell ref="O65:O73"/>
    <x:mergeCell ref="B29:B37"/>
    <x:mergeCell ref="L20:L28"/>
    <x:mergeCell ref="B38:B46"/>
    <x:mergeCell ref="L29:L37"/>
    <x:mergeCell ref="N29:N37"/>
    <x:mergeCell ref="O56:O64"/>
    <x:mergeCell ref="O2:O10"/>
    <x:mergeCell ref="A83:A91"/>
    <x:mergeCell ref="O38:O46"/>
    <x:mergeCell ref="K83:K91"/>
    <x:mergeCell ref="B56:B64"/>
    <x:mergeCell ref="O83:O91"/>
    <x:mergeCell ref="P38:P46"/>
    <x:mergeCell ref="N56:N64"/>
    <x:mergeCell ref="P56:P64"/>
    <x:mergeCell ref="M11:M19"/>
    <x:mergeCell ref="O20:O28"/>
    <x:mergeCell ref="B2:B10"/>
    <x:mergeCell ref="K11:K19"/>
    <x:mergeCell ref="L74:L82"/>
    <x:mergeCell ref="K47:K55"/>
    <x:mergeCell ref="P11:P19"/>
    <x:mergeCell ref="O47:O55"/>
    <x:mergeCell ref="B83:B91"/>
    <x:mergeCell ref="A38:A46"/>
    <x:mergeCell ref="M38:M46"/>
    <x:mergeCell ref="M83:M91"/>
    <x:mergeCell ref="B47:B55"/>
    <x:mergeCell ref="L47:L55"/>
    <x:mergeCell ref="N47:N55"/>
    <x:mergeCell ref="K20:K28"/>
    <x:mergeCell ref="M20:M28"/>
    <x:mergeCell ref="K29:K37"/>
    <x:mergeCell ref="M2:M10"/>
  </x:mergeCells>
  <x:pageMargins left="0.7" right="0.7" top="0.75" bottom="0.75" header="0.3" footer="0.3"/>
</x:worksheet>
</file>