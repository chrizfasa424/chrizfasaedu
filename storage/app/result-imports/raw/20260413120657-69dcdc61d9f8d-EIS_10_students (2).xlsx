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hwofasa\Downloads\"/>
    </mc:Choice>
  </mc:AlternateContent>
  <xr:revisionPtr revIDLastSave="0" documentId="13_ncr:1_{A5C557CA-C3B5-42F6-9D68-E9C8ED5EA0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1" l="1"/>
  <c r="J91" i="1" s="1"/>
  <c r="G90" i="1"/>
  <c r="J90" i="1" s="1"/>
  <c r="G89" i="1"/>
  <c r="J89" i="1" s="1"/>
  <c r="G88" i="1"/>
  <c r="J88" i="1" s="1"/>
  <c r="G87" i="1"/>
  <c r="J87" i="1" s="1"/>
  <c r="G86" i="1"/>
  <c r="J86" i="1" s="1"/>
  <c r="G85" i="1"/>
  <c r="J85" i="1" s="1"/>
  <c r="G84" i="1"/>
  <c r="J84" i="1" s="1"/>
  <c r="M83" i="1"/>
  <c r="L83" i="1"/>
  <c r="K83" i="1"/>
  <c r="G83" i="1"/>
  <c r="O83" i="1" s="1"/>
  <c r="J82" i="1"/>
  <c r="G82" i="1"/>
  <c r="I82" i="1" s="1"/>
  <c r="G81" i="1"/>
  <c r="J81" i="1" s="1"/>
  <c r="J80" i="1"/>
  <c r="G80" i="1"/>
  <c r="I80" i="1" s="1"/>
  <c r="H79" i="1"/>
  <c r="G79" i="1"/>
  <c r="J79" i="1" s="1"/>
  <c r="J78" i="1"/>
  <c r="H78" i="1"/>
  <c r="G78" i="1"/>
  <c r="I78" i="1" s="1"/>
  <c r="H77" i="1"/>
  <c r="G77" i="1"/>
  <c r="J77" i="1" s="1"/>
  <c r="J76" i="1"/>
  <c r="H76" i="1"/>
  <c r="G76" i="1"/>
  <c r="I76" i="1" s="1"/>
  <c r="H75" i="1"/>
  <c r="G75" i="1"/>
  <c r="J75" i="1" s="1"/>
  <c r="N74" i="1"/>
  <c r="M74" i="1"/>
  <c r="L74" i="1"/>
  <c r="K74" i="1"/>
  <c r="J74" i="1"/>
  <c r="G74" i="1"/>
  <c r="I74" i="1" s="1"/>
  <c r="J73" i="1"/>
  <c r="I73" i="1"/>
  <c r="G73" i="1"/>
  <c r="J72" i="1"/>
  <c r="G72" i="1"/>
  <c r="I72" i="1" s="1"/>
  <c r="J71" i="1"/>
  <c r="I71" i="1"/>
  <c r="H71" i="1"/>
  <c r="G71" i="1"/>
  <c r="J70" i="1"/>
  <c r="H70" i="1"/>
  <c r="G70" i="1"/>
  <c r="I70" i="1" s="1"/>
  <c r="J69" i="1"/>
  <c r="I69" i="1"/>
  <c r="H69" i="1"/>
  <c r="G69" i="1"/>
  <c r="J68" i="1"/>
  <c r="H68" i="1"/>
  <c r="G68" i="1"/>
  <c r="I68" i="1" s="1"/>
  <c r="J67" i="1"/>
  <c r="I67" i="1"/>
  <c r="H67" i="1"/>
  <c r="G67" i="1"/>
  <c r="J66" i="1"/>
  <c r="H66" i="1"/>
  <c r="G66" i="1"/>
  <c r="I66" i="1" s="1"/>
  <c r="P65" i="1"/>
  <c r="N65" i="1"/>
  <c r="M65" i="1"/>
  <c r="L65" i="1"/>
  <c r="K65" i="1"/>
  <c r="J65" i="1"/>
  <c r="H65" i="1"/>
  <c r="G65" i="1"/>
  <c r="I65" i="1" s="1"/>
  <c r="J64" i="1"/>
  <c r="H64" i="1"/>
  <c r="G64" i="1"/>
  <c r="I64" i="1" s="1"/>
  <c r="J63" i="1"/>
  <c r="H63" i="1"/>
  <c r="G63" i="1"/>
  <c r="I63" i="1" s="1"/>
  <c r="J62" i="1"/>
  <c r="H62" i="1"/>
  <c r="G62" i="1"/>
  <c r="I62" i="1" s="1"/>
  <c r="J61" i="1"/>
  <c r="H61" i="1"/>
  <c r="G61" i="1"/>
  <c r="I61" i="1" s="1"/>
  <c r="J60" i="1"/>
  <c r="H60" i="1"/>
  <c r="G60" i="1"/>
  <c r="I60" i="1" s="1"/>
  <c r="J59" i="1"/>
  <c r="H59" i="1"/>
  <c r="G59" i="1"/>
  <c r="I59" i="1" s="1"/>
  <c r="J58" i="1"/>
  <c r="H58" i="1"/>
  <c r="G58" i="1"/>
  <c r="I58" i="1" s="1"/>
  <c r="J57" i="1"/>
  <c r="H57" i="1"/>
  <c r="G57" i="1"/>
  <c r="I57" i="1" s="1"/>
  <c r="P56" i="1"/>
  <c r="N56" i="1"/>
  <c r="M56" i="1"/>
  <c r="L56" i="1"/>
  <c r="K56" i="1"/>
  <c r="J56" i="1"/>
  <c r="I56" i="1"/>
  <c r="H56" i="1"/>
  <c r="G56" i="1"/>
  <c r="O56" i="1" s="1"/>
  <c r="J55" i="1"/>
  <c r="H55" i="1"/>
  <c r="G55" i="1"/>
  <c r="I55" i="1" s="1"/>
  <c r="J54" i="1"/>
  <c r="I54" i="1"/>
  <c r="H54" i="1"/>
  <c r="G54" i="1"/>
  <c r="J53" i="1"/>
  <c r="H53" i="1"/>
  <c r="G53" i="1"/>
  <c r="I53" i="1" s="1"/>
  <c r="J52" i="1"/>
  <c r="I52" i="1"/>
  <c r="H52" i="1"/>
  <c r="G52" i="1"/>
  <c r="J51" i="1"/>
  <c r="H51" i="1"/>
  <c r="G51" i="1"/>
  <c r="I51" i="1" s="1"/>
  <c r="J50" i="1"/>
  <c r="I50" i="1"/>
  <c r="H50" i="1"/>
  <c r="G50" i="1"/>
  <c r="J49" i="1"/>
  <c r="H49" i="1"/>
  <c r="G49" i="1"/>
  <c r="I49" i="1" s="1"/>
  <c r="J48" i="1"/>
  <c r="I48" i="1"/>
  <c r="H48" i="1"/>
  <c r="G48" i="1"/>
  <c r="P47" i="1"/>
  <c r="N47" i="1"/>
  <c r="M47" i="1"/>
  <c r="L47" i="1"/>
  <c r="K47" i="1"/>
  <c r="J47" i="1"/>
  <c r="H47" i="1"/>
  <c r="G47" i="1"/>
  <c r="O47" i="1" s="1"/>
  <c r="J46" i="1"/>
  <c r="H46" i="1"/>
  <c r="G46" i="1"/>
  <c r="I46" i="1" s="1"/>
  <c r="J45" i="1"/>
  <c r="H45" i="1"/>
  <c r="G45" i="1"/>
  <c r="I45" i="1" s="1"/>
  <c r="J44" i="1"/>
  <c r="H44" i="1"/>
  <c r="G44" i="1"/>
  <c r="I44" i="1" s="1"/>
  <c r="J43" i="1"/>
  <c r="H43" i="1"/>
  <c r="G43" i="1"/>
  <c r="I43" i="1" s="1"/>
  <c r="J42" i="1"/>
  <c r="H42" i="1"/>
  <c r="G42" i="1"/>
  <c r="I42" i="1" s="1"/>
  <c r="J41" i="1"/>
  <c r="H41" i="1"/>
  <c r="G41" i="1"/>
  <c r="I41" i="1" s="1"/>
  <c r="J40" i="1"/>
  <c r="H40" i="1"/>
  <c r="G40" i="1"/>
  <c r="I40" i="1" s="1"/>
  <c r="J39" i="1"/>
  <c r="H39" i="1"/>
  <c r="G39" i="1"/>
  <c r="I39" i="1" s="1"/>
  <c r="P38" i="1"/>
  <c r="N38" i="1"/>
  <c r="M38" i="1"/>
  <c r="L38" i="1"/>
  <c r="K38" i="1"/>
  <c r="J38" i="1"/>
  <c r="H38" i="1"/>
  <c r="G38" i="1"/>
  <c r="I38" i="1" s="1"/>
  <c r="J37" i="1"/>
  <c r="I37" i="1"/>
  <c r="H37" i="1"/>
  <c r="G37" i="1"/>
  <c r="J36" i="1"/>
  <c r="H36" i="1"/>
  <c r="G36" i="1"/>
  <c r="I36" i="1" s="1"/>
  <c r="J35" i="1"/>
  <c r="I35" i="1"/>
  <c r="H35" i="1"/>
  <c r="G35" i="1"/>
  <c r="J34" i="1"/>
  <c r="H34" i="1"/>
  <c r="G34" i="1"/>
  <c r="I34" i="1" s="1"/>
  <c r="J33" i="1"/>
  <c r="I33" i="1"/>
  <c r="H33" i="1"/>
  <c r="G33" i="1"/>
  <c r="J32" i="1"/>
  <c r="H32" i="1"/>
  <c r="G32" i="1"/>
  <c r="I32" i="1" s="1"/>
  <c r="J31" i="1"/>
  <c r="I31" i="1"/>
  <c r="H31" i="1"/>
  <c r="G31" i="1"/>
  <c r="J30" i="1"/>
  <c r="H30" i="1"/>
  <c r="G30" i="1"/>
  <c r="I30" i="1" s="1"/>
  <c r="P29" i="1"/>
  <c r="N29" i="1"/>
  <c r="M29" i="1"/>
  <c r="L29" i="1"/>
  <c r="K29" i="1"/>
  <c r="J29" i="1"/>
  <c r="H29" i="1"/>
  <c r="G29" i="1"/>
  <c r="I29" i="1" s="1"/>
  <c r="J28" i="1"/>
  <c r="H28" i="1"/>
  <c r="G28" i="1"/>
  <c r="I28" i="1" s="1"/>
  <c r="J27" i="1"/>
  <c r="H27" i="1"/>
  <c r="G27" i="1"/>
  <c r="I27" i="1" s="1"/>
  <c r="J26" i="1"/>
  <c r="H26" i="1"/>
  <c r="G26" i="1"/>
  <c r="I26" i="1" s="1"/>
  <c r="J25" i="1"/>
  <c r="H25" i="1"/>
  <c r="G25" i="1"/>
  <c r="I25" i="1" s="1"/>
  <c r="J24" i="1"/>
  <c r="H24" i="1"/>
  <c r="G24" i="1"/>
  <c r="I24" i="1" s="1"/>
  <c r="J23" i="1"/>
  <c r="H23" i="1"/>
  <c r="G23" i="1"/>
  <c r="I23" i="1" s="1"/>
  <c r="J22" i="1"/>
  <c r="H22" i="1"/>
  <c r="G22" i="1"/>
  <c r="I22" i="1" s="1"/>
  <c r="J21" i="1"/>
  <c r="H21" i="1"/>
  <c r="G21" i="1"/>
  <c r="I21" i="1" s="1"/>
  <c r="P20" i="1"/>
  <c r="N20" i="1"/>
  <c r="M20" i="1"/>
  <c r="L20" i="1"/>
  <c r="K20" i="1"/>
  <c r="J20" i="1"/>
  <c r="I20" i="1"/>
  <c r="H20" i="1"/>
  <c r="G20" i="1"/>
  <c r="O20" i="1" s="1"/>
  <c r="J19" i="1"/>
  <c r="H19" i="1"/>
  <c r="G19" i="1"/>
  <c r="I19" i="1" s="1"/>
  <c r="J18" i="1"/>
  <c r="I18" i="1"/>
  <c r="H18" i="1"/>
  <c r="G18" i="1"/>
  <c r="J17" i="1"/>
  <c r="H17" i="1"/>
  <c r="G17" i="1"/>
  <c r="I17" i="1" s="1"/>
  <c r="J16" i="1"/>
  <c r="I16" i="1"/>
  <c r="H16" i="1"/>
  <c r="G16" i="1"/>
  <c r="J15" i="1"/>
  <c r="H15" i="1"/>
  <c r="G15" i="1"/>
  <c r="I15" i="1" s="1"/>
  <c r="J14" i="1"/>
  <c r="I14" i="1"/>
  <c r="H14" i="1"/>
  <c r="G14" i="1"/>
  <c r="J13" i="1"/>
  <c r="H13" i="1"/>
  <c r="G13" i="1"/>
  <c r="I13" i="1" s="1"/>
  <c r="J12" i="1"/>
  <c r="I12" i="1"/>
  <c r="H12" i="1"/>
  <c r="G12" i="1"/>
  <c r="P11" i="1"/>
  <c r="N11" i="1"/>
  <c r="M11" i="1"/>
  <c r="L11" i="1"/>
  <c r="K11" i="1"/>
  <c r="J11" i="1"/>
  <c r="H11" i="1"/>
  <c r="G11" i="1"/>
  <c r="O11" i="1" s="1"/>
  <c r="J10" i="1"/>
  <c r="H10" i="1"/>
  <c r="G10" i="1"/>
  <c r="I10" i="1" s="1"/>
  <c r="J9" i="1"/>
  <c r="H9" i="1"/>
  <c r="G9" i="1"/>
  <c r="I9" i="1" s="1"/>
  <c r="J8" i="1"/>
  <c r="H8" i="1"/>
  <c r="G8" i="1"/>
  <c r="I8" i="1" s="1"/>
  <c r="J7" i="1"/>
  <c r="H7" i="1"/>
  <c r="G7" i="1"/>
  <c r="I7" i="1" s="1"/>
  <c r="J6" i="1"/>
  <c r="H6" i="1"/>
  <c r="G6" i="1"/>
  <c r="I6" i="1" s="1"/>
  <c r="J5" i="1"/>
  <c r="H5" i="1"/>
  <c r="G5" i="1"/>
  <c r="I5" i="1" s="1"/>
  <c r="J4" i="1"/>
  <c r="H4" i="1"/>
  <c r="G4" i="1"/>
  <c r="H83" i="1" s="1"/>
  <c r="J3" i="1"/>
  <c r="H3" i="1"/>
  <c r="G3" i="1"/>
  <c r="I3" i="1" s="1"/>
  <c r="P2" i="1"/>
  <c r="N2" i="1"/>
  <c r="M2" i="1"/>
  <c r="L2" i="1"/>
  <c r="K2" i="1"/>
  <c r="J2" i="1"/>
  <c r="H2" i="1"/>
  <c r="G2" i="1"/>
  <c r="P83" i="1" s="1"/>
  <c r="H81" i="1" l="1"/>
  <c r="I11" i="1"/>
  <c r="I47" i="1"/>
  <c r="I75" i="1"/>
  <c r="I77" i="1"/>
  <c r="I79" i="1"/>
  <c r="I81" i="1"/>
  <c r="I83" i="1"/>
  <c r="H73" i="1"/>
  <c r="J83" i="1"/>
  <c r="H84" i="1"/>
  <c r="H86" i="1"/>
  <c r="H88" i="1"/>
  <c r="H90" i="1"/>
  <c r="O29" i="1"/>
  <c r="O65" i="1"/>
  <c r="I84" i="1"/>
  <c r="I86" i="1"/>
  <c r="I88" i="1"/>
  <c r="I90" i="1"/>
  <c r="H82" i="1"/>
  <c r="H80" i="1"/>
  <c r="O2" i="1"/>
  <c r="I4" i="1"/>
  <c r="O38" i="1"/>
  <c r="O74" i="1"/>
  <c r="H72" i="1"/>
  <c r="P74" i="1"/>
  <c r="N83" i="1"/>
  <c r="H85" i="1"/>
  <c r="H87" i="1"/>
  <c r="H89" i="1"/>
  <c r="H91" i="1"/>
  <c r="H74" i="1"/>
  <c r="I2" i="1"/>
  <c r="I85" i="1"/>
  <c r="I87" i="1"/>
  <c r="I89" i="1"/>
  <c r="I91" i="1"/>
</calcChain>
</file>

<file path=xl/sharedStrings.xml><?xml version="1.0" encoding="utf-8"?>
<sst xmlns="http://schemas.openxmlformats.org/spreadsheetml/2006/main" count="126" uniqueCount="45">
  <si>
    <t>Student Number</t>
  </si>
  <si>
    <t>Full Name</t>
  </si>
  <si>
    <t>Subject</t>
  </si>
  <si>
    <t>First Test</t>
  </si>
  <si>
    <t>Second Test</t>
  </si>
  <si>
    <t>Examination</t>
  </si>
  <si>
    <t>Total Grades</t>
  </si>
  <si>
    <t>Position</t>
  </si>
  <si>
    <t>Grade</t>
  </si>
  <si>
    <t>Remarks</t>
  </si>
  <si>
    <t>Total First Test</t>
  </si>
  <si>
    <t>Total Second Test</t>
  </si>
  <si>
    <t>Total Examination</t>
  </si>
  <si>
    <t>Overall Total</t>
  </si>
  <si>
    <t>Mark Average</t>
  </si>
  <si>
    <t>Class Average</t>
  </si>
  <si>
    <t>EIS/2026/0001</t>
  </si>
  <si>
    <t>Mathematics</t>
  </si>
  <si>
    <t>English Studies</t>
  </si>
  <si>
    <t>Basic Science and Technology</t>
  </si>
  <si>
    <t>Pre-Vocational Studies</t>
  </si>
  <si>
    <t>National Value</t>
  </si>
  <si>
    <t>Business Studies</t>
  </si>
  <si>
    <t>Creative and Cultural Art</t>
  </si>
  <si>
    <t>Christian Religious Studies</t>
  </si>
  <si>
    <t>History Studies</t>
  </si>
  <si>
    <t>EIS/2026/0002</t>
  </si>
  <si>
    <t>EIS/2026/0003</t>
  </si>
  <si>
    <t>Samuel Akpan</t>
  </si>
  <si>
    <t>EIS/2026/0004</t>
  </si>
  <si>
    <t>Esther Eze</t>
  </si>
  <si>
    <t>EIS/2026/0005</t>
  </si>
  <si>
    <t>Michael Balogun</t>
  </si>
  <si>
    <t>EIS/2026/0006</t>
  </si>
  <si>
    <t>Joy Olawale</t>
  </si>
  <si>
    <t>EIS/2026/0007</t>
  </si>
  <si>
    <t>David Uche</t>
  </si>
  <si>
    <t>EIS/2026/0008</t>
  </si>
  <si>
    <t>Blessing Ibrahim</t>
  </si>
  <si>
    <t>EIS/2026/0009</t>
  </si>
  <si>
    <t>Emmanuel Nwankwo</t>
  </si>
  <si>
    <t>EIS/2026/0010</t>
  </si>
  <si>
    <t>Faith Adebayo</t>
  </si>
  <si>
    <t>Christian Ohwofasa</t>
  </si>
  <si>
    <t>Larry Onorode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</si>
</sst>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1"/>
  <sheetViews>
    <sheetView tabSelected="1" workbookViewId="0">
      <selection activeCell="A11" sqref="A11:A19"/>
    </sheetView>
  </sheetViews>
  <sheetFormatPr defaultRowHeight="14.4" x14ac:dyDescent="0.3"/>
  <cols>
    <col min="1" max="1" width="16" customWidth="1"/>
    <col min="2" max="2" width="24" customWidth="1"/>
    <col min="3" max="3" width="30" customWidth="1"/>
    <col min="4" max="4" width="12" customWidth="1"/>
    <col min="8" max="8" width="10" customWidth="1"/>
    <col min="9" max="9" width="8" customWidth="1"/>
    <col min="10" max="10" width="16" customWidth="1"/>
    <col min="11" max="11" width="14" customWidth="1"/>
    <col min="12" max="12" width="15" customWidth="1"/>
    <col min="13" max="13" width="16" customWidth="1"/>
    <col min="14" max="14" width="13" customWidth="1"/>
    <col min="15" max="15" width="12" customWidth="1"/>
  </cols>
  <sheetData>
    <row r="1" spans="1:16" ht="22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0" t="s">
        <v>16</v>
      </c>
      <c r="B2" s="9" t="s">
        <v>43</v>
      </c>
      <c r="C2" s="2" t="s">
        <v>17</v>
      </c>
      <c r="D2" s="3">
        <v>9</v>
      </c>
      <c r="E2" s="3">
        <v>12</v>
      </c>
      <c r="F2" s="3">
        <v>39</v>
      </c>
      <c r="G2" s="3">
        <f t="shared" ref="G2:G33" si="0">D2+E2+F2</f>
        <v>60</v>
      </c>
      <c r="H2" s="3">
        <f t="shared" ref="H2:H33" si="1">1+SUMPRODUCT(($C$2:$C$91=C2)*($G$2:$G$91&gt;G2))</f>
        <v>4</v>
      </c>
      <c r="I2" s="4" t="str">
        <f t="shared" ref="I2:I33" si="2">IF(G2&gt;=70,"A",IF(G2&gt;=60,"B",IF(G2&gt;=50,"C",IF(G2&gt;=40,"D","E"))))</f>
        <v>B</v>
      </c>
      <c r="J2" s="2" t="str">
        <f t="shared" ref="J2:J33" si="3">IF(G2&gt;=70,"Excellent",IF(G2&gt;=60,"Very Good",IF(G2&gt;=50,"Good",IF(G2&gt;=40,"Fair","Needs Improvement"))))</f>
        <v>Very Good</v>
      </c>
      <c r="K2" s="8">
        <f>SUM(D2:D10)</f>
        <v>74</v>
      </c>
      <c r="L2" s="8">
        <f>SUM(E2:E10)</f>
        <v>134</v>
      </c>
      <c r="M2" s="8">
        <f>SUM(F2:F10)</f>
        <v>492</v>
      </c>
      <c r="N2" s="8">
        <f>SUM(G2:G10)</f>
        <v>700</v>
      </c>
      <c r="O2" s="5">
        <f>ROUND(AVERAGE(G2:G10),2)</f>
        <v>77.78</v>
      </c>
      <c r="P2" s="5">
        <f>ROUND(AVERAGE($G$2:$G$91),2)</f>
        <v>67.87</v>
      </c>
    </row>
    <row r="3" spans="1:16" x14ac:dyDescent="0.3">
      <c r="A3" s="6"/>
      <c r="B3" s="6"/>
      <c r="C3" s="2" t="s">
        <v>18</v>
      </c>
      <c r="D3" s="3">
        <v>5</v>
      </c>
      <c r="E3" s="3">
        <v>11</v>
      </c>
      <c r="F3" s="3">
        <v>50</v>
      </c>
      <c r="G3" s="3">
        <f t="shared" si="0"/>
        <v>66</v>
      </c>
      <c r="H3" s="3">
        <f t="shared" si="1"/>
        <v>6</v>
      </c>
      <c r="I3" s="4" t="str">
        <f t="shared" si="2"/>
        <v>B</v>
      </c>
      <c r="J3" s="2" t="str">
        <f t="shared" si="3"/>
        <v>Very Good</v>
      </c>
      <c r="K3" s="6"/>
      <c r="L3" s="6"/>
      <c r="M3" s="6"/>
      <c r="N3" s="6"/>
      <c r="O3" s="6"/>
      <c r="P3" s="6"/>
    </row>
    <row r="4" spans="1:16" x14ac:dyDescent="0.3">
      <c r="A4" s="6"/>
      <c r="B4" s="6"/>
      <c r="C4" s="2" t="s">
        <v>19</v>
      </c>
      <c r="D4" s="3">
        <v>10</v>
      </c>
      <c r="E4" s="3">
        <v>18</v>
      </c>
      <c r="F4" s="3">
        <v>54</v>
      </c>
      <c r="G4" s="3">
        <f t="shared" si="0"/>
        <v>82</v>
      </c>
      <c r="H4" s="3">
        <f t="shared" si="1"/>
        <v>2</v>
      </c>
      <c r="I4" s="4" t="str">
        <f t="shared" si="2"/>
        <v>A</v>
      </c>
      <c r="J4" s="2" t="str">
        <f t="shared" si="3"/>
        <v>Excellent</v>
      </c>
      <c r="K4" s="6"/>
      <c r="L4" s="6"/>
      <c r="M4" s="6"/>
      <c r="N4" s="6"/>
      <c r="O4" s="6"/>
      <c r="P4" s="6"/>
    </row>
    <row r="5" spans="1:16" x14ac:dyDescent="0.3">
      <c r="A5" s="6"/>
      <c r="B5" s="6"/>
      <c r="C5" s="2" t="s">
        <v>20</v>
      </c>
      <c r="D5" s="3">
        <v>4</v>
      </c>
      <c r="E5" s="3">
        <v>12</v>
      </c>
      <c r="F5" s="3">
        <v>40</v>
      </c>
      <c r="G5" s="3">
        <f t="shared" si="0"/>
        <v>56</v>
      </c>
      <c r="H5" s="3">
        <f t="shared" si="1"/>
        <v>8</v>
      </c>
      <c r="I5" s="4" t="str">
        <f t="shared" si="2"/>
        <v>C</v>
      </c>
      <c r="J5" s="2" t="str">
        <f t="shared" si="3"/>
        <v>Good</v>
      </c>
      <c r="K5" s="6"/>
      <c r="L5" s="6"/>
      <c r="M5" s="6"/>
      <c r="N5" s="6"/>
      <c r="O5" s="6"/>
      <c r="P5" s="6"/>
    </row>
    <row r="6" spans="1:16" x14ac:dyDescent="0.3">
      <c r="A6" s="6"/>
      <c r="B6" s="6"/>
      <c r="C6" s="2" t="s">
        <v>21</v>
      </c>
      <c r="D6" s="3">
        <v>9</v>
      </c>
      <c r="E6" s="3">
        <v>10</v>
      </c>
      <c r="F6" s="3">
        <v>61</v>
      </c>
      <c r="G6" s="3">
        <f t="shared" si="0"/>
        <v>80</v>
      </c>
      <c r="H6" s="3">
        <f t="shared" si="1"/>
        <v>2</v>
      </c>
      <c r="I6" s="4" t="str">
        <f t="shared" si="2"/>
        <v>A</v>
      </c>
      <c r="J6" s="2" t="str">
        <f t="shared" si="3"/>
        <v>Excellent</v>
      </c>
      <c r="K6" s="6"/>
      <c r="L6" s="6"/>
      <c r="M6" s="6"/>
      <c r="N6" s="6"/>
      <c r="O6" s="6"/>
      <c r="P6" s="6"/>
    </row>
    <row r="7" spans="1:16" x14ac:dyDescent="0.3">
      <c r="A7" s="6"/>
      <c r="B7" s="6"/>
      <c r="C7" s="2" t="s">
        <v>22</v>
      </c>
      <c r="D7" s="3">
        <v>10</v>
      </c>
      <c r="E7" s="3">
        <v>20</v>
      </c>
      <c r="F7" s="3">
        <v>57</v>
      </c>
      <c r="G7" s="3">
        <f t="shared" si="0"/>
        <v>87</v>
      </c>
      <c r="H7" s="3">
        <f t="shared" si="1"/>
        <v>2</v>
      </c>
      <c r="I7" s="4" t="str">
        <f t="shared" si="2"/>
        <v>A</v>
      </c>
      <c r="J7" s="2" t="str">
        <f t="shared" si="3"/>
        <v>Excellent</v>
      </c>
      <c r="K7" s="6"/>
      <c r="L7" s="6"/>
      <c r="M7" s="6"/>
      <c r="N7" s="6"/>
      <c r="O7" s="6"/>
      <c r="P7" s="6"/>
    </row>
    <row r="8" spans="1:16" x14ac:dyDescent="0.3">
      <c r="A8" s="6"/>
      <c r="B8" s="6"/>
      <c r="C8" s="2" t="s">
        <v>23</v>
      </c>
      <c r="D8" s="3">
        <v>7</v>
      </c>
      <c r="E8" s="3">
        <v>20</v>
      </c>
      <c r="F8" s="3">
        <v>69</v>
      </c>
      <c r="G8" s="3">
        <f t="shared" si="0"/>
        <v>96</v>
      </c>
      <c r="H8" s="3">
        <f t="shared" si="1"/>
        <v>1</v>
      </c>
      <c r="I8" s="4" t="str">
        <f t="shared" si="2"/>
        <v>A</v>
      </c>
      <c r="J8" s="2" t="str">
        <f t="shared" si="3"/>
        <v>Excellent</v>
      </c>
      <c r="K8" s="6"/>
      <c r="L8" s="6"/>
      <c r="M8" s="6"/>
      <c r="N8" s="6"/>
      <c r="O8" s="6"/>
      <c r="P8" s="6"/>
    </row>
    <row r="9" spans="1:16" x14ac:dyDescent="0.3">
      <c r="A9" s="6"/>
      <c r="B9" s="6"/>
      <c r="C9" s="2" t="s">
        <v>24</v>
      </c>
      <c r="D9" s="3">
        <v>10</v>
      </c>
      <c r="E9" s="3">
        <v>12</v>
      </c>
      <c r="F9" s="3">
        <v>61</v>
      </c>
      <c r="G9" s="3">
        <f t="shared" si="0"/>
        <v>83</v>
      </c>
      <c r="H9" s="3">
        <f t="shared" si="1"/>
        <v>4</v>
      </c>
      <c r="I9" s="4" t="str">
        <f t="shared" si="2"/>
        <v>A</v>
      </c>
      <c r="J9" s="2" t="str">
        <f t="shared" si="3"/>
        <v>Excellent</v>
      </c>
      <c r="K9" s="6"/>
      <c r="L9" s="6"/>
      <c r="M9" s="6"/>
      <c r="N9" s="6"/>
      <c r="O9" s="6"/>
      <c r="P9" s="6"/>
    </row>
    <row r="10" spans="1:16" x14ac:dyDescent="0.3">
      <c r="A10" s="7"/>
      <c r="B10" s="7"/>
      <c r="C10" s="2" t="s">
        <v>25</v>
      </c>
      <c r="D10" s="3">
        <v>10</v>
      </c>
      <c r="E10" s="3">
        <v>19</v>
      </c>
      <c r="F10" s="3">
        <v>61</v>
      </c>
      <c r="G10" s="3">
        <f t="shared" si="0"/>
        <v>90</v>
      </c>
      <c r="H10" s="3">
        <f t="shared" si="1"/>
        <v>1</v>
      </c>
      <c r="I10" s="4" t="str">
        <f t="shared" si="2"/>
        <v>A</v>
      </c>
      <c r="J10" s="2" t="str">
        <f t="shared" si="3"/>
        <v>Excellent</v>
      </c>
      <c r="K10" s="7"/>
      <c r="L10" s="7"/>
      <c r="M10" s="7"/>
      <c r="N10" s="7"/>
      <c r="O10" s="7"/>
      <c r="P10" s="7"/>
    </row>
    <row r="11" spans="1:16" x14ac:dyDescent="0.3">
      <c r="A11" s="10" t="s">
        <v>26</v>
      </c>
      <c r="B11" s="9" t="s">
        <v>44</v>
      </c>
      <c r="C11" s="2" t="s">
        <v>17</v>
      </c>
      <c r="D11" s="3">
        <v>3</v>
      </c>
      <c r="E11" s="3">
        <v>11</v>
      </c>
      <c r="F11" s="3">
        <v>33</v>
      </c>
      <c r="G11" s="3">
        <f t="shared" si="0"/>
        <v>47</v>
      </c>
      <c r="H11" s="3">
        <f t="shared" si="1"/>
        <v>9</v>
      </c>
      <c r="I11" s="4" t="str">
        <f t="shared" si="2"/>
        <v>D</v>
      </c>
      <c r="J11" s="2" t="str">
        <f t="shared" si="3"/>
        <v>Fair</v>
      </c>
      <c r="K11" s="8">
        <f>SUM(D11:D19)</f>
        <v>47</v>
      </c>
      <c r="L11" s="8">
        <f>SUM(E11:E19)</f>
        <v>97</v>
      </c>
      <c r="M11" s="8">
        <f>SUM(F11:F19)</f>
        <v>360</v>
      </c>
      <c r="N11" s="8">
        <f>SUM(G11:G19)</f>
        <v>504</v>
      </c>
      <c r="O11" s="5">
        <f>ROUND(AVERAGE(G11:G19),2)</f>
        <v>56</v>
      </c>
      <c r="P11" s="5">
        <f>ROUND(AVERAGE($G$2:$G$91),2)</f>
        <v>67.87</v>
      </c>
    </row>
    <row r="12" spans="1:16" x14ac:dyDescent="0.3">
      <c r="A12" s="6"/>
      <c r="B12" s="6"/>
      <c r="C12" s="2" t="s">
        <v>18</v>
      </c>
      <c r="D12" s="3">
        <v>5</v>
      </c>
      <c r="E12" s="3">
        <v>6</v>
      </c>
      <c r="F12" s="3">
        <v>29</v>
      </c>
      <c r="G12" s="3">
        <f t="shared" si="0"/>
        <v>40</v>
      </c>
      <c r="H12" s="3">
        <f t="shared" si="1"/>
        <v>9</v>
      </c>
      <c r="I12" s="4" t="str">
        <f t="shared" si="2"/>
        <v>D</v>
      </c>
      <c r="J12" s="2" t="str">
        <f t="shared" si="3"/>
        <v>Fair</v>
      </c>
      <c r="K12" s="6"/>
      <c r="L12" s="6"/>
      <c r="M12" s="6"/>
      <c r="N12" s="6"/>
      <c r="O12" s="6"/>
      <c r="P12" s="6"/>
    </row>
    <row r="13" spans="1:16" x14ac:dyDescent="0.3">
      <c r="A13" s="6"/>
      <c r="B13" s="6"/>
      <c r="C13" s="2" t="s">
        <v>19</v>
      </c>
      <c r="D13" s="3">
        <v>7</v>
      </c>
      <c r="E13" s="3">
        <v>10</v>
      </c>
      <c r="F13" s="3">
        <v>43</v>
      </c>
      <c r="G13" s="3">
        <f t="shared" si="0"/>
        <v>60</v>
      </c>
      <c r="H13" s="3">
        <f t="shared" si="1"/>
        <v>9</v>
      </c>
      <c r="I13" s="4" t="str">
        <f t="shared" si="2"/>
        <v>B</v>
      </c>
      <c r="J13" s="2" t="str">
        <f t="shared" si="3"/>
        <v>Very Good</v>
      </c>
      <c r="K13" s="6"/>
      <c r="L13" s="6"/>
      <c r="M13" s="6"/>
      <c r="N13" s="6"/>
      <c r="O13" s="6"/>
      <c r="P13" s="6"/>
    </row>
    <row r="14" spans="1:16" x14ac:dyDescent="0.3">
      <c r="A14" s="6"/>
      <c r="B14" s="6"/>
      <c r="C14" s="2" t="s">
        <v>20</v>
      </c>
      <c r="D14" s="3">
        <v>6</v>
      </c>
      <c r="E14" s="3">
        <v>6</v>
      </c>
      <c r="F14" s="3">
        <v>41</v>
      </c>
      <c r="G14" s="3">
        <f t="shared" si="0"/>
        <v>53</v>
      </c>
      <c r="H14" s="3">
        <f t="shared" si="1"/>
        <v>9</v>
      </c>
      <c r="I14" s="4" t="str">
        <f t="shared" si="2"/>
        <v>C</v>
      </c>
      <c r="J14" s="2" t="str">
        <f t="shared" si="3"/>
        <v>Good</v>
      </c>
      <c r="K14" s="6"/>
      <c r="L14" s="6"/>
      <c r="M14" s="6"/>
      <c r="N14" s="6"/>
      <c r="O14" s="6"/>
      <c r="P14" s="6"/>
    </row>
    <row r="15" spans="1:16" x14ac:dyDescent="0.3">
      <c r="A15" s="6"/>
      <c r="B15" s="6"/>
      <c r="C15" s="2" t="s">
        <v>21</v>
      </c>
      <c r="D15" s="3">
        <v>7</v>
      </c>
      <c r="E15" s="3">
        <v>11</v>
      </c>
      <c r="F15" s="3">
        <v>37</v>
      </c>
      <c r="G15" s="3">
        <f t="shared" si="0"/>
        <v>55</v>
      </c>
      <c r="H15" s="3">
        <f t="shared" si="1"/>
        <v>10</v>
      </c>
      <c r="I15" s="4" t="str">
        <f t="shared" si="2"/>
        <v>C</v>
      </c>
      <c r="J15" s="2" t="str">
        <f t="shared" si="3"/>
        <v>Good</v>
      </c>
      <c r="K15" s="6"/>
      <c r="L15" s="6"/>
      <c r="M15" s="6"/>
      <c r="N15" s="6"/>
      <c r="O15" s="6"/>
      <c r="P15" s="6"/>
    </row>
    <row r="16" spans="1:16" x14ac:dyDescent="0.3">
      <c r="A16" s="6"/>
      <c r="B16" s="6"/>
      <c r="C16" s="2" t="s">
        <v>22</v>
      </c>
      <c r="D16" s="3">
        <v>8</v>
      </c>
      <c r="E16" s="3">
        <v>12</v>
      </c>
      <c r="F16" s="3">
        <v>51</v>
      </c>
      <c r="G16" s="3">
        <f t="shared" si="0"/>
        <v>71</v>
      </c>
      <c r="H16" s="3">
        <f t="shared" si="1"/>
        <v>7</v>
      </c>
      <c r="I16" s="4" t="str">
        <f t="shared" si="2"/>
        <v>A</v>
      </c>
      <c r="J16" s="2" t="str">
        <f t="shared" si="3"/>
        <v>Excellent</v>
      </c>
      <c r="K16" s="6"/>
      <c r="L16" s="6"/>
      <c r="M16" s="6"/>
      <c r="N16" s="6"/>
      <c r="O16" s="6"/>
      <c r="P16" s="6"/>
    </row>
    <row r="17" spans="1:16" x14ac:dyDescent="0.3">
      <c r="A17" s="6"/>
      <c r="B17" s="6"/>
      <c r="C17" s="2" t="s">
        <v>23</v>
      </c>
      <c r="D17" s="3">
        <v>4</v>
      </c>
      <c r="E17" s="3">
        <v>20</v>
      </c>
      <c r="F17" s="3">
        <v>45</v>
      </c>
      <c r="G17" s="3">
        <f t="shared" si="0"/>
        <v>69</v>
      </c>
      <c r="H17" s="3">
        <f t="shared" si="1"/>
        <v>8</v>
      </c>
      <c r="I17" s="4" t="str">
        <f t="shared" si="2"/>
        <v>B</v>
      </c>
      <c r="J17" s="2" t="str">
        <f t="shared" si="3"/>
        <v>Very Good</v>
      </c>
      <c r="K17" s="6"/>
      <c r="L17" s="6"/>
      <c r="M17" s="6"/>
      <c r="N17" s="6"/>
      <c r="O17" s="6"/>
      <c r="P17" s="6"/>
    </row>
    <row r="18" spans="1:16" x14ac:dyDescent="0.3">
      <c r="A18" s="6"/>
      <c r="B18" s="6"/>
      <c r="C18" s="2" t="s">
        <v>24</v>
      </c>
      <c r="D18" s="3">
        <v>3</v>
      </c>
      <c r="E18" s="3">
        <v>9</v>
      </c>
      <c r="F18" s="3">
        <v>41</v>
      </c>
      <c r="G18" s="3">
        <f t="shared" si="0"/>
        <v>53</v>
      </c>
      <c r="H18" s="3">
        <f t="shared" si="1"/>
        <v>8</v>
      </c>
      <c r="I18" s="4" t="str">
        <f t="shared" si="2"/>
        <v>C</v>
      </c>
      <c r="J18" s="2" t="str">
        <f t="shared" si="3"/>
        <v>Good</v>
      </c>
      <c r="K18" s="6"/>
      <c r="L18" s="6"/>
      <c r="M18" s="6"/>
      <c r="N18" s="6"/>
      <c r="O18" s="6"/>
      <c r="P18" s="6"/>
    </row>
    <row r="19" spans="1:16" x14ac:dyDescent="0.3">
      <c r="A19" s="7"/>
      <c r="B19" s="7"/>
      <c r="C19" s="2" t="s">
        <v>25</v>
      </c>
      <c r="D19" s="3">
        <v>4</v>
      </c>
      <c r="E19" s="3">
        <v>12</v>
      </c>
      <c r="F19" s="3">
        <v>40</v>
      </c>
      <c r="G19" s="3">
        <f t="shared" si="0"/>
        <v>56</v>
      </c>
      <c r="H19" s="3">
        <f t="shared" si="1"/>
        <v>8</v>
      </c>
      <c r="I19" s="4" t="str">
        <f t="shared" si="2"/>
        <v>C</v>
      </c>
      <c r="J19" s="2" t="str">
        <f t="shared" si="3"/>
        <v>Good</v>
      </c>
      <c r="K19" s="7"/>
      <c r="L19" s="7"/>
      <c r="M19" s="7"/>
      <c r="N19" s="7"/>
      <c r="O19" s="7"/>
      <c r="P19" s="7"/>
    </row>
    <row r="20" spans="1:16" x14ac:dyDescent="0.3">
      <c r="A20" s="10" t="s">
        <v>27</v>
      </c>
      <c r="B20" s="9" t="s">
        <v>28</v>
      </c>
      <c r="C20" s="2" t="s">
        <v>17</v>
      </c>
      <c r="D20" s="3">
        <v>6</v>
      </c>
      <c r="E20" s="3">
        <v>15</v>
      </c>
      <c r="F20" s="3">
        <v>50</v>
      </c>
      <c r="G20" s="3">
        <f t="shared" si="0"/>
        <v>71</v>
      </c>
      <c r="H20" s="3">
        <f t="shared" si="1"/>
        <v>2</v>
      </c>
      <c r="I20" s="4" t="str">
        <f t="shared" si="2"/>
        <v>A</v>
      </c>
      <c r="J20" s="2" t="str">
        <f t="shared" si="3"/>
        <v>Excellent</v>
      </c>
      <c r="K20" s="8">
        <f>SUM(D20:D28)</f>
        <v>71</v>
      </c>
      <c r="L20" s="8">
        <f>SUM(E20:E28)</f>
        <v>149</v>
      </c>
      <c r="M20" s="8">
        <f>SUM(F20:F28)</f>
        <v>479</v>
      </c>
      <c r="N20" s="8">
        <f>SUM(G20:G28)</f>
        <v>699</v>
      </c>
      <c r="O20" s="5">
        <f>ROUND(AVERAGE(G20:G28),2)</f>
        <v>77.67</v>
      </c>
      <c r="P20" s="5">
        <f>ROUND(AVERAGE($G$2:$G$91),2)</f>
        <v>67.87</v>
      </c>
    </row>
    <row r="21" spans="1:16" x14ac:dyDescent="0.3">
      <c r="A21" s="6"/>
      <c r="B21" s="6"/>
      <c r="C21" s="2" t="s">
        <v>18</v>
      </c>
      <c r="D21" s="3">
        <v>9</v>
      </c>
      <c r="E21" s="3">
        <v>19</v>
      </c>
      <c r="F21" s="3">
        <v>50</v>
      </c>
      <c r="G21" s="3">
        <f t="shared" si="0"/>
        <v>78</v>
      </c>
      <c r="H21" s="3">
        <f t="shared" si="1"/>
        <v>3</v>
      </c>
      <c r="I21" s="4" t="str">
        <f t="shared" si="2"/>
        <v>A</v>
      </c>
      <c r="J21" s="2" t="str">
        <f t="shared" si="3"/>
        <v>Excellent</v>
      </c>
      <c r="K21" s="6"/>
      <c r="L21" s="6"/>
      <c r="M21" s="6"/>
      <c r="N21" s="6"/>
      <c r="O21" s="6"/>
      <c r="P21" s="6"/>
    </row>
    <row r="22" spans="1:16" x14ac:dyDescent="0.3">
      <c r="A22" s="6"/>
      <c r="B22" s="6"/>
      <c r="C22" s="2" t="s">
        <v>19</v>
      </c>
      <c r="D22" s="3">
        <v>10</v>
      </c>
      <c r="E22" s="3">
        <v>20</v>
      </c>
      <c r="F22" s="3">
        <v>53</v>
      </c>
      <c r="G22" s="3">
        <f t="shared" si="0"/>
        <v>83</v>
      </c>
      <c r="H22" s="3">
        <f t="shared" si="1"/>
        <v>1</v>
      </c>
      <c r="I22" s="4" t="str">
        <f t="shared" si="2"/>
        <v>A</v>
      </c>
      <c r="J22" s="2" t="str">
        <f t="shared" si="3"/>
        <v>Excellent</v>
      </c>
      <c r="K22" s="6"/>
      <c r="L22" s="6"/>
      <c r="M22" s="6"/>
      <c r="N22" s="6"/>
      <c r="O22" s="6"/>
      <c r="P22" s="6"/>
    </row>
    <row r="23" spans="1:16" x14ac:dyDescent="0.3">
      <c r="A23" s="6"/>
      <c r="B23" s="6"/>
      <c r="C23" s="2" t="s">
        <v>20</v>
      </c>
      <c r="D23" s="3">
        <v>5</v>
      </c>
      <c r="E23" s="3">
        <v>17</v>
      </c>
      <c r="F23" s="3">
        <v>50</v>
      </c>
      <c r="G23" s="3">
        <f t="shared" si="0"/>
        <v>72</v>
      </c>
      <c r="H23" s="3">
        <f t="shared" si="1"/>
        <v>3</v>
      </c>
      <c r="I23" s="4" t="str">
        <f t="shared" si="2"/>
        <v>A</v>
      </c>
      <c r="J23" s="2" t="str">
        <f t="shared" si="3"/>
        <v>Excellent</v>
      </c>
      <c r="K23" s="6"/>
      <c r="L23" s="6"/>
      <c r="M23" s="6"/>
      <c r="N23" s="6"/>
      <c r="O23" s="6"/>
      <c r="P23" s="6"/>
    </row>
    <row r="24" spans="1:16" x14ac:dyDescent="0.3">
      <c r="A24" s="6"/>
      <c r="B24" s="6"/>
      <c r="C24" s="2" t="s">
        <v>21</v>
      </c>
      <c r="D24" s="3">
        <v>10</v>
      </c>
      <c r="E24" s="3">
        <v>19</v>
      </c>
      <c r="F24" s="3">
        <v>57</v>
      </c>
      <c r="G24" s="3">
        <f t="shared" si="0"/>
        <v>86</v>
      </c>
      <c r="H24" s="3">
        <f t="shared" si="1"/>
        <v>1</v>
      </c>
      <c r="I24" s="4" t="str">
        <f t="shared" si="2"/>
        <v>A</v>
      </c>
      <c r="J24" s="2" t="str">
        <f t="shared" si="3"/>
        <v>Excellent</v>
      </c>
      <c r="K24" s="6"/>
      <c r="L24" s="6"/>
      <c r="M24" s="6"/>
      <c r="N24" s="6"/>
      <c r="O24" s="6"/>
      <c r="P24" s="6"/>
    </row>
    <row r="25" spans="1:16" x14ac:dyDescent="0.3">
      <c r="A25" s="6"/>
      <c r="B25" s="6"/>
      <c r="C25" s="2" t="s">
        <v>22</v>
      </c>
      <c r="D25" s="3">
        <v>10</v>
      </c>
      <c r="E25" s="3">
        <v>10</v>
      </c>
      <c r="F25" s="3">
        <v>54</v>
      </c>
      <c r="G25" s="3">
        <f t="shared" si="0"/>
        <v>74</v>
      </c>
      <c r="H25" s="3">
        <f t="shared" si="1"/>
        <v>5</v>
      </c>
      <c r="I25" s="4" t="str">
        <f t="shared" si="2"/>
        <v>A</v>
      </c>
      <c r="J25" s="2" t="str">
        <f t="shared" si="3"/>
        <v>Excellent</v>
      </c>
      <c r="K25" s="6"/>
      <c r="L25" s="6"/>
      <c r="M25" s="6"/>
      <c r="N25" s="6"/>
      <c r="O25" s="6"/>
      <c r="P25" s="6"/>
    </row>
    <row r="26" spans="1:16" x14ac:dyDescent="0.3">
      <c r="A26" s="6"/>
      <c r="B26" s="6"/>
      <c r="C26" s="2" t="s">
        <v>23</v>
      </c>
      <c r="D26" s="3">
        <v>10</v>
      </c>
      <c r="E26" s="3">
        <v>15</v>
      </c>
      <c r="F26" s="3">
        <v>47</v>
      </c>
      <c r="G26" s="3">
        <f t="shared" si="0"/>
        <v>72</v>
      </c>
      <c r="H26" s="3">
        <f t="shared" si="1"/>
        <v>4</v>
      </c>
      <c r="I26" s="4" t="str">
        <f t="shared" si="2"/>
        <v>A</v>
      </c>
      <c r="J26" s="2" t="str">
        <f t="shared" si="3"/>
        <v>Excellent</v>
      </c>
      <c r="K26" s="6"/>
      <c r="L26" s="6"/>
      <c r="M26" s="6"/>
      <c r="N26" s="6"/>
      <c r="O26" s="6"/>
      <c r="P26" s="6"/>
    </row>
    <row r="27" spans="1:16" x14ac:dyDescent="0.3">
      <c r="A27" s="6"/>
      <c r="B27" s="6"/>
      <c r="C27" s="2" t="s">
        <v>24</v>
      </c>
      <c r="D27" s="3">
        <v>5</v>
      </c>
      <c r="E27" s="3">
        <v>14</v>
      </c>
      <c r="F27" s="3">
        <v>57</v>
      </c>
      <c r="G27" s="3">
        <f t="shared" si="0"/>
        <v>76</v>
      </c>
      <c r="H27" s="3">
        <f t="shared" si="1"/>
        <v>5</v>
      </c>
      <c r="I27" s="4" t="str">
        <f t="shared" si="2"/>
        <v>A</v>
      </c>
      <c r="J27" s="2" t="str">
        <f t="shared" si="3"/>
        <v>Excellent</v>
      </c>
      <c r="K27" s="6"/>
      <c r="L27" s="6"/>
      <c r="M27" s="6"/>
      <c r="N27" s="6"/>
      <c r="O27" s="6"/>
      <c r="P27" s="6"/>
    </row>
    <row r="28" spans="1:16" x14ac:dyDescent="0.3">
      <c r="A28" s="7"/>
      <c r="B28" s="7"/>
      <c r="C28" s="2" t="s">
        <v>25</v>
      </c>
      <c r="D28" s="3">
        <v>6</v>
      </c>
      <c r="E28" s="3">
        <v>20</v>
      </c>
      <c r="F28" s="3">
        <v>61</v>
      </c>
      <c r="G28" s="3">
        <f t="shared" si="0"/>
        <v>87</v>
      </c>
      <c r="H28" s="3">
        <f t="shared" si="1"/>
        <v>2</v>
      </c>
      <c r="I28" s="4" t="str">
        <f t="shared" si="2"/>
        <v>A</v>
      </c>
      <c r="J28" s="2" t="str">
        <f t="shared" si="3"/>
        <v>Excellent</v>
      </c>
      <c r="K28" s="7"/>
      <c r="L28" s="7"/>
      <c r="M28" s="7"/>
      <c r="N28" s="7"/>
      <c r="O28" s="7"/>
      <c r="P28" s="7"/>
    </row>
    <row r="29" spans="1:16" x14ac:dyDescent="0.3">
      <c r="A29" s="10" t="s">
        <v>29</v>
      </c>
      <c r="B29" s="9" t="s">
        <v>30</v>
      </c>
      <c r="C29" s="2" t="s">
        <v>17</v>
      </c>
      <c r="D29" s="3">
        <v>5</v>
      </c>
      <c r="E29" s="3">
        <v>12</v>
      </c>
      <c r="F29" s="3">
        <v>53</v>
      </c>
      <c r="G29" s="3">
        <f t="shared" si="0"/>
        <v>70</v>
      </c>
      <c r="H29" s="3">
        <f t="shared" si="1"/>
        <v>3</v>
      </c>
      <c r="I29" s="4" t="str">
        <f t="shared" si="2"/>
        <v>A</v>
      </c>
      <c r="J29" s="2" t="str">
        <f t="shared" si="3"/>
        <v>Excellent</v>
      </c>
      <c r="K29" s="8">
        <f>SUM(D29:D37)</f>
        <v>70</v>
      </c>
      <c r="L29" s="8">
        <f>SUM(E29:E37)</f>
        <v>127</v>
      </c>
      <c r="M29" s="8">
        <f>SUM(F29:F37)</f>
        <v>450</v>
      </c>
      <c r="N29" s="8">
        <f>SUM(G29:G37)</f>
        <v>647</v>
      </c>
      <c r="O29" s="5">
        <f>ROUND(AVERAGE(G29:G37),2)</f>
        <v>71.89</v>
      </c>
      <c r="P29" s="5">
        <f>ROUND(AVERAGE($G$2:$G$91),2)</f>
        <v>67.87</v>
      </c>
    </row>
    <row r="30" spans="1:16" x14ac:dyDescent="0.3">
      <c r="A30" s="6"/>
      <c r="B30" s="6"/>
      <c r="C30" s="2" t="s">
        <v>18</v>
      </c>
      <c r="D30" s="3">
        <v>8</v>
      </c>
      <c r="E30" s="3">
        <v>15</v>
      </c>
      <c r="F30" s="3">
        <v>42</v>
      </c>
      <c r="G30" s="3">
        <f t="shared" si="0"/>
        <v>65</v>
      </c>
      <c r="H30" s="3">
        <f t="shared" si="1"/>
        <v>7</v>
      </c>
      <c r="I30" s="4" t="str">
        <f t="shared" si="2"/>
        <v>B</v>
      </c>
      <c r="J30" s="2" t="str">
        <f t="shared" si="3"/>
        <v>Very Good</v>
      </c>
      <c r="K30" s="6"/>
      <c r="L30" s="6"/>
      <c r="M30" s="6"/>
      <c r="N30" s="6"/>
      <c r="O30" s="6"/>
      <c r="P30" s="6"/>
    </row>
    <row r="31" spans="1:16" x14ac:dyDescent="0.3">
      <c r="A31" s="6"/>
      <c r="B31" s="6"/>
      <c r="C31" s="2" t="s">
        <v>19</v>
      </c>
      <c r="D31" s="3">
        <v>9</v>
      </c>
      <c r="E31" s="3">
        <v>19</v>
      </c>
      <c r="F31" s="3">
        <v>51</v>
      </c>
      <c r="G31" s="3">
        <f t="shared" si="0"/>
        <v>79</v>
      </c>
      <c r="H31" s="3">
        <f t="shared" si="1"/>
        <v>3</v>
      </c>
      <c r="I31" s="4" t="str">
        <f t="shared" si="2"/>
        <v>A</v>
      </c>
      <c r="J31" s="2" t="str">
        <f t="shared" si="3"/>
        <v>Excellent</v>
      </c>
      <c r="K31" s="6"/>
      <c r="L31" s="6"/>
      <c r="M31" s="6"/>
      <c r="N31" s="6"/>
      <c r="O31" s="6"/>
      <c r="P31" s="6"/>
    </row>
    <row r="32" spans="1:16" x14ac:dyDescent="0.3">
      <c r="A32" s="6"/>
      <c r="B32" s="6"/>
      <c r="C32" s="2" t="s">
        <v>20</v>
      </c>
      <c r="D32" s="3">
        <v>6</v>
      </c>
      <c r="E32" s="3">
        <v>12</v>
      </c>
      <c r="F32" s="3">
        <v>54</v>
      </c>
      <c r="G32" s="3">
        <f t="shared" si="0"/>
        <v>72</v>
      </c>
      <c r="H32" s="3">
        <f t="shared" si="1"/>
        <v>3</v>
      </c>
      <c r="I32" s="4" t="str">
        <f t="shared" si="2"/>
        <v>A</v>
      </c>
      <c r="J32" s="2" t="str">
        <f t="shared" si="3"/>
        <v>Excellent</v>
      </c>
      <c r="K32" s="6"/>
      <c r="L32" s="6"/>
      <c r="M32" s="6"/>
      <c r="N32" s="6"/>
      <c r="O32" s="6"/>
      <c r="P32" s="6"/>
    </row>
    <row r="33" spans="1:16" x14ac:dyDescent="0.3">
      <c r="A33" s="6"/>
      <c r="B33" s="6"/>
      <c r="C33" s="2" t="s">
        <v>21</v>
      </c>
      <c r="D33" s="3">
        <v>6</v>
      </c>
      <c r="E33" s="3">
        <v>9</v>
      </c>
      <c r="F33" s="3">
        <v>53</v>
      </c>
      <c r="G33" s="3">
        <f t="shared" si="0"/>
        <v>68</v>
      </c>
      <c r="H33" s="3">
        <f t="shared" si="1"/>
        <v>8</v>
      </c>
      <c r="I33" s="4" t="str">
        <f t="shared" si="2"/>
        <v>B</v>
      </c>
      <c r="J33" s="2" t="str">
        <f t="shared" si="3"/>
        <v>Very Good</v>
      </c>
      <c r="K33" s="6"/>
      <c r="L33" s="6"/>
      <c r="M33" s="6"/>
      <c r="N33" s="6"/>
      <c r="O33" s="6"/>
      <c r="P33" s="6"/>
    </row>
    <row r="34" spans="1:16" x14ac:dyDescent="0.3">
      <c r="A34" s="6"/>
      <c r="B34" s="6"/>
      <c r="C34" s="2" t="s">
        <v>22</v>
      </c>
      <c r="D34" s="3">
        <v>10</v>
      </c>
      <c r="E34" s="3">
        <v>12</v>
      </c>
      <c r="F34" s="3">
        <v>50</v>
      </c>
      <c r="G34" s="3">
        <f t="shared" ref="G34:G65" si="4">D34+E34+F34</f>
        <v>72</v>
      </c>
      <c r="H34" s="3">
        <f t="shared" ref="H34:H65" si="5">1+SUMPRODUCT(($C$2:$C$91=C34)*($G$2:$G$91&gt;G34))</f>
        <v>6</v>
      </c>
      <c r="I34" s="4" t="str">
        <f t="shared" ref="I34:I65" si="6">IF(G34&gt;=70,"A",IF(G34&gt;=60,"B",IF(G34&gt;=50,"C",IF(G34&gt;=40,"D","E"))))</f>
        <v>A</v>
      </c>
      <c r="J34" s="2" t="str">
        <f t="shared" ref="J34:J65" si="7">IF(G34&gt;=70,"Excellent",IF(G34&gt;=60,"Very Good",IF(G34&gt;=50,"Good",IF(G34&gt;=40,"Fair","Needs Improvement"))))</f>
        <v>Excellent</v>
      </c>
      <c r="K34" s="6"/>
      <c r="L34" s="6"/>
      <c r="M34" s="6"/>
      <c r="N34" s="6"/>
      <c r="O34" s="6"/>
      <c r="P34" s="6"/>
    </row>
    <row r="35" spans="1:16" x14ac:dyDescent="0.3">
      <c r="A35" s="6"/>
      <c r="B35" s="6"/>
      <c r="C35" s="2" t="s">
        <v>23</v>
      </c>
      <c r="D35" s="3">
        <v>10</v>
      </c>
      <c r="E35" s="3">
        <v>18</v>
      </c>
      <c r="F35" s="3">
        <v>42</v>
      </c>
      <c r="G35" s="3">
        <f t="shared" si="4"/>
        <v>70</v>
      </c>
      <c r="H35" s="3">
        <f t="shared" si="5"/>
        <v>6</v>
      </c>
      <c r="I35" s="4" t="str">
        <f t="shared" si="6"/>
        <v>A</v>
      </c>
      <c r="J35" s="2" t="str">
        <f t="shared" si="7"/>
        <v>Excellent</v>
      </c>
      <c r="K35" s="6"/>
      <c r="L35" s="6"/>
      <c r="M35" s="6"/>
      <c r="N35" s="6"/>
      <c r="O35" s="6"/>
      <c r="P35" s="6"/>
    </row>
    <row r="36" spans="1:16" x14ac:dyDescent="0.3">
      <c r="A36" s="6"/>
      <c r="B36" s="6"/>
      <c r="C36" s="2" t="s">
        <v>24</v>
      </c>
      <c r="D36" s="3">
        <v>7</v>
      </c>
      <c r="E36" s="3">
        <v>16</v>
      </c>
      <c r="F36" s="3">
        <v>45</v>
      </c>
      <c r="G36" s="3">
        <f t="shared" si="4"/>
        <v>68</v>
      </c>
      <c r="H36" s="3">
        <f t="shared" si="5"/>
        <v>6</v>
      </c>
      <c r="I36" s="4" t="str">
        <f t="shared" si="6"/>
        <v>B</v>
      </c>
      <c r="J36" s="2" t="str">
        <f t="shared" si="7"/>
        <v>Very Good</v>
      </c>
      <c r="K36" s="6"/>
      <c r="L36" s="6"/>
      <c r="M36" s="6"/>
      <c r="N36" s="6"/>
      <c r="O36" s="6"/>
      <c r="P36" s="6"/>
    </row>
    <row r="37" spans="1:16" x14ac:dyDescent="0.3">
      <c r="A37" s="7"/>
      <c r="B37" s="7"/>
      <c r="C37" s="2" t="s">
        <v>25</v>
      </c>
      <c r="D37" s="3">
        <v>9</v>
      </c>
      <c r="E37" s="3">
        <v>14</v>
      </c>
      <c r="F37" s="3">
        <v>60</v>
      </c>
      <c r="G37" s="3">
        <f t="shared" si="4"/>
        <v>83</v>
      </c>
      <c r="H37" s="3">
        <f t="shared" si="5"/>
        <v>3</v>
      </c>
      <c r="I37" s="4" t="str">
        <f t="shared" si="6"/>
        <v>A</v>
      </c>
      <c r="J37" s="2" t="str">
        <f t="shared" si="7"/>
        <v>Excellent</v>
      </c>
      <c r="K37" s="7"/>
      <c r="L37" s="7"/>
      <c r="M37" s="7"/>
      <c r="N37" s="7"/>
      <c r="O37" s="7"/>
      <c r="P37" s="7"/>
    </row>
    <row r="38" spans="1:16" x14ac:dyDescent="0.3">
      <c r="A38" s="10" t="s">
        <v>31</v>
      </c>
      <c r="B38" s="9" t="s">
        <v>32</v>
      </c>
      <c r="C38" s="2" t="s">
        <v>17</v>
      </c>
      <c r="D38" s="3">
        <v>8</v>
      </c>
      <c r="E38" s="3">
        <v>15</v>
      </c>
      <c r="F38" s="3">
        <v>36</v>
      </c>
      <c r="G38" s="3">
        <f t="shared" si="4"/>
        <v>59</v>
      </c>
      <c r="H38" s="3">
        <f t="shared" si="5"/>
        <v>5</v>
      </c>
      <c r="I38" s="4" t="str">
        <f t="shared" si="6"/>
        <v>C</v>
      </c>
      <c r="J38" s="2" t="str">
        <f t="shared" si="7"/>
        <v>Good</v>
      </c>
      <c r="K38" s="8">
        <f>SUM(D38:D46)</f>
        <v>69</v>
      </c>
      <c r="L38" s="8">
        <f>SUM(E38:E46)</f>
        <v>138</v>
      </c>
      <c r="M38" s="8">
        <f>SUM(F38:F46)</f>
        <v>463</v>
      </c>
      <c r="N38" s="8">
        <f>SUM(G38:G46)</f>
        <v>670</v>
      </c>
      <c r="O38" s="5">
        <f>ROUND(AVERAGE(G38:G46),2)</f>
        <v>74.44</v>
      </c>
      <c r="P38" s="5">
        <f>ROUND(AVERAGE($G$2:$G$91),2)</f>
        <v>67.87</v>
      </c>
    </row>
    <row r="39" spans="1:16" x14ac:dyDescent="0.3">
      <c r="A39" s="6"/>
      <c r="B39" s="6"/>
      <c r="C39" s="2" t="s">
        <v>18</v>
      </c>
      <c r="D39" s="3">
        <v>10</v>
      </c>
      <c r="E39" s="3">
        <v>20</v>
      </c>
      <c r="F39" s="3">
        <v>59</v>
      </c>
      <c r="G39" s="3">
        <f t="shared" si="4"/>
        <v>89</v>
      </c>
      <c r="H39" s="3">
        <f t="shared" si="5"/>
        <v>2</v>
      </c>
      <c r="I39" s="4" t="str">
        <f t="shared" si="6"/>
        <v>A</v>
      </c>
      <c r="J39" s="2" t="str">
        <f t="shared" si="7"/>
        <v>Excellent</v>
      </c>
      <c r="K39" s="6"/>
      <c r="L39" s="6"/>
      <c r="M39" s="6"/>
      <c r="N39" s="6"/>
      <c r="O39" s="6"/>
      <c r="P39" s="6"/>
    </row>
    <row r="40" spans="1:16" x14ac:dyDescent="0.3">
      <c r="A40" s="6"/>
      <c r="B40" s="6"/>
      <c r="C40" s="2" t="s">
        <v>19</v>
      </c>
      <c r="D40" s="3">
        <v>6</v>
      </c>
      <c r="E40" s="3">
        <v>15</v>
      </c>
      <c r="F40" s="3">
        <v>44</v>
      </c>
      <c r="G40" s="3">
        <f t="shared" si="4"/>
        <v>65</v>
      </c>
      <c r="H40" s="3">
        <f t="shared" si="5"/>
        <v>7</v>
      </c>
      <c r="I40" s="4" t="str">
        <f t="shared" si="6"/>
        <v>B</v>
      </c>
      <c r="J40" s="2" t="str">
        <f t="shared" si="7"/>
        <v>Very Good</v>
      </c>
      <c r="K40" s="6"/>
      <c r="L40" s="6"/>
      <c r="M40" s="6"/>
      <c r="N40" s="6"/>
      <c r="O40" s="6"/>
      <c r="P40" s="6"/>
    </row>
    <row r="41" spans="1:16" x14ac:dyDescent="0.3">
      <c r="A41" s="6"/>
      <c r="B41" s="6"/>
      <c r="C41" s="2" t="s">
        <v>20</v>
      </c>
      <c r="D41" s="3">
        <v>4</v>
      </c>
      <c r="E41" s="3">
        <v>13</v>
      </c>
      <c r="F41" s="3">
        <v>54</v>
      </c>
      <c r="G41" s="3">
        <f t="shared" si="4"/>
        <v>71</v>
      </c>
      <c r="H41" s="3">
        <f t="shared" si="5"/>
        <v>5</v>
      </c>
      <c r="I41" s="4" t="str">
        <f t="shared" si="6"/>
        <v>A</v>
      </c>
      <c r="J41" s="2" t="str">
        <f t="shared" si="7"/>
        <v>Excellent</v>
      </c>
      <c r="K41" s="6"/>
      <c r="L41" s="6"/>
      <c r="M41" s="6"/>
      <c r="N41" s="6"/>
      <c r="O41" s="6"/>
      <c r="P41" s="6"/>
    </row>
    <row r="42" spans="1:16" x14ac:dyDescent="0.3">
      <c r="A42" s="6"/>
      <c r="B42" s="6"/>
      <c r="C42" s="2" t="s">
        <v>21</v>
      </c>
      <c r="D42" s="3">
        <v>9</v>
      </c>
      <c r="E42" s="3">
        <v>12</v>
      </c>
      <c r="F42" s="3">
        <v>53</v>
      </c>
      <c r="G42" s="3">
        <f t="shared" si="4"/>
        <v>74</v>
      </c>
      <c r="H42" s="3">
        <f t="shared" si="5"/>
        <v>4</v>
      </c>
      <c r="I42" s="4" t="str">
        <f t="shared" si="6"/>
        <v>A</v>
      </c>
      <c r="J42" s="2" t="str">
        <f t="shared" si="7"/>
        <v>Excellent</v>
      </c>
      <c r="K42" s="6"/>
      <c r="L42" s="6"/>
      <c r="M42" s="6"/>
      <c r="N42" s="6"/>
      <c r="O42" s="6"/>
      <c r="P42" s="6"/>
    </row>
    <row r="43" spans="1:16" x14ac:dyDescent="0.3">
      <c r="A43" s="6"/>
      <c r="B43" s="6"/>
      <c r="C43" s="2" t="s">
        <v>22</v>
      </c>
      <c r="D43" s="3">
        <v>10</v>
      </c>
      <c r="E43" s="3">
        <v>20</v>
      </c>
      <c r="F43" s="3">
        <v>58</v>
      </c>
      <c r="G43" s="3">
        <f t="shared" si="4"/>
        <v>88</v>
      </c>
      <c r="H43" s="3">
        <f t="shared" si="5"/>
        <v>1</v>
      </c>
      <c r="I43" s="4" t="str">
        <f t="shared" si="6"/>
        <v>A</v>
      </c>
      <c r="J43" s="2" t="str">
        <f t="shared" si="7"/>
        <v>Excellent</v>
      </c>
      <c r="K43" s="6"/>
      <c r="L43" s="6"/>
      <c r="M43" s="6"/>
      <c r="N43" s="6"/>
      <c r="O43" s="6"/>
      <c r="P43" s="6"/>
    </row>
    <row r="44" spans="1:16" x14ac:dyDescent="0.3">
      <c r="A44" s="6"/>
      <c r="B44" s="6"/>
      <c r="C44" s="2" t="s">
        <v>23</v>
      </c>
      <c r="D44" s="3">
        <v>6</v>
      </c>
      <c r="E44" s="3">
        <v>16</v>
      </c>
      <c r="F44" s="3">
        <v>55</v>
      </c>
      <c r="G44" s="3">
        <f t="shared" si="4"/>
        <v>77</v>
      </c>
      <c r="H44" s="3">
        <f t="shared" si="5"/>
        <v>2</v>
      </c>
      <c r="I44" s="4" t="str">
        <f t="shared" si="6"/>
        <v>A</v>
      </c>
      <c r="J44" s="2" t="str">
        <f t="shared" si="7"/>
        <v>Excellent</v>
      </c>
      <c r="K44" s="6"/>
      <c r="L44" s="6"/>
      <c r="M44" s="6"/>
      <c r="N44" s="6"/>
      <c r="O44" s="6"/>
      <c r="P44" s="6"/>
    </row>
    <row r="45" spans="1:16" x14ac:dyDescent="0.3">
      <c r="A45" s="6"/>
      <c r="B45" s="6"/>
      <c r="C45" s="2" t="s">
        <v>24</v>
      </c>
      <c r="D45" s="3">
        <v>10</v>
      </c>
      <c r="E45" s="3">
        <v>20</v>
      </c>
      <c r="F45" s="3">
        <v>59</v>
      </c>
      <c r="G45" s="3">
        <f t="shared" si="4"/>
        <v>89</v>
      </c>
      <c r="H45" s="3">
        <f t="shared" si="5"/>
        <v>2</v>
      </c>
      <c r="I45" s="4" t="str">
        <f t="shared" si="6"/>
        <v>A</v>
      </c>
      <c r="J45" s="2" t="str">
        <f t="shared" si="7"/>
        <v>Excellent</v>
      </c>
      <c r="K45" s="6"/>
      <c r="L45" s="6"/>
      <c r="M45" s="6"/>
      <c r="N45" s="6"/>
      <c r="O45" s="6"/>
      <c r="P45" s="6"/>
    </row>
    <row r="46" spans="1:16" x14ac:dyDescent="0.3">
      <c r="A46" s="7"/>
      <c r="B46" s="7"/>
      <c r="C46" s="2" t="s">
        <v>25</v>
      </c>
      <c r="D46" s="3">
        <v>6</v>
      </c>
      <c r="E46" s="3">
        <v>7</v>
      </c>
      <c r="F46" s="3">
        <v>45</v>
      </c>
      <c r="G46" s="3">
        <f t="shared" si="4"/>
        <v>58</v>
      </c>
      <c r="H46" s="3">
        <f t="shared" si="5"/>
        <v>7</v>
      </c>
      <c r="I46" s="4" t="str">
        <f t="shared" si="6"/>
        <v>C</v>
      </c>
      <c r="J46" s="2" t="str">
        <f t="shared" si="7"/>
        <v>Good</v>
      </c>
      <c r="K46" s="7"/>
      <c r="L46" s="7"/>
      <c r="M46" s="7"/>
      <c r="N46" s="7"/>
      <c r="O46" s="7"/>
      <c r="P46" s="7"/>
    </row>
    <row r="47" spans="1:16" ht="22.95" customHeight="1" x14ac:dyDescent="0.3">
      <c r="A47" s="10" t="s">
        <v>33</v>
      </c>
      <c r="B47" s="9" t="s">
        <v>34</v>
      </c>
      <c r="C47" s="2" t="s">
        <v>17</v>
      </c>
      <c r="D47" s="3">
        <v>2</v>
      </c>
      <c r="E47" s="3">
        <v>3</v>
      </c>
      <c r="F47" s="3">
        <v>30</v>
      </c>
      <c r="G47" s="3">
        <f t="shared" si="4"/>
        <v>35</v>
      </c>
      <c r="H47" s="3">
        <f t="shared" si="5"/>
        <v>10</v>
      </c>
      <c r="I47" s="4" t="str">
        <f t="shared" si="6"/>
        <v>E</v>
      </c>
      <c r="J47" s="2" t="str">
        <f t="shared" si="7"/>
        <v>Needs Improvement</v>
      </c>
      <c r="K47" s="8">
        <f>SUM(D47:D55)</f>
        <v>29</v>
      </c>
      <c r="L47" s="8">
        <f>SUM(E47:E55)</f>
        <v>95</v>
      </c>
      <c r="M47" s="8">
        <f>SUM(F47:F55)</f>
        <v>281</v>
      </c>
      <c r="N47" s="8">
        <f>SUM(G47:G55)</f>
        <v>405</v>
      </c>
      <c r="O47" s="5">
        <f>ROUND(AVERAGE(G47:G55),2)</f>
        <v>45</v>
      </c>
      <c r="P47" s="5">
        <f>ROUND(AVERAGE($G$2:$G$91),2)</f>
        <v>67.87</v>
      </c>
    </row>
    <row r="48" spans="1:16" ht="22.95" customHeight="1" x14ac:dyDescent="0.3">
      <c r="A48" s="6"/>
      <c r="B48" s="6"/>
      <c r="C48" s="2" t="s">
        <v>18</v>
      </c>
      <c r="D48" s="3">
        <v>1</v>
      </c>
      <c r="E48" s="3">
        <v>10</v>
      </c>
      <c r="F48" s="3">
        <v>22</v>
      </c>
      <c r="G48" s="3">
        <f t="shared" si="4"/>
        <v>33</v>
      </c>
      <c r="H48" s="3">
        <f t="shared" si="5"/>
        <v>10</v>
      </c>
      <c r="I48" s="4" t="str">
        <f t="shared" si="6"/>
        <v>E</v>
      </c>
      <c r="J48" s="2" t="str">
        <f t="shared" si="7"/>
        <v>Needs Improvement</v>
      </c>
      <c r="K48" s="6"/>
      <c r="L48" s="6"/>
      <c r="M48" s="6"/>
      <c r="N48" s="6"/>
      <c r="O48" s="6"/>
      <c r="P48" s="6"/>
    </row>
    <row r="49" spans="1:16" ht="22.95" customHeight="1" x14ac:dyDescent="0.3">
      <c r="A49" s="6"/>
      <c r="B49" s="6"/>
      <c r="C49" s="2" t="s">
        <v>19</v>
      </c>
      <c r="D49" s="3">
        <v>1</v>
      </c>
      <c r="E49" s="3">
        <v>12</v>
      </c>
      <c r="F49" s="3">
        <v>20</v>
      </c>
      <c r="G49" s="3">
        <f t="shared" si="4"/>
        <v>33</v>
      </c>
      <c r="H49" s="3">
        <f t="shared" si="5"/>
        <v>10</v>
      </c>
      <c r="I49" s="4" t="str">
        <f t="shared" si="6"/>
        <v>E</v>
      </c>
      <c r="J49" s="2" t="str">
        <f t="shared" si="7"/>
        <v>Needs Improvement</v>
      </c>
      <c r="K49" s="6"/>
      <c r="L49" s="6"/>
      <c r="M49" s="6"/>
      <c r="N49" s="6"/>
      <c r="O49" s="6"/>
      <c r="P49" s="6"/>
    </row>
    <row r="50" spans="1:16" x14ac:dyDescent="0.3">
      <c r="A50" s="6"/>
      <c r="B50" s="6"/>
      <c r="C50" s="2" t="s">
        <v>20</v>
      </c>
      <c r="D50" s="3">
        <v>4</v>
      </c>
      <c r="E50" s="3">
        <v>13</v>
      </c>
      <c r="F50" s="3">
        <v>32</v>
      </c>
      <c r="G50" s="3">
        <f t="shared" si="4"/>
        <v>49</v>
      </c>
      <c r="H50" s="3">
        <f t="shared" si="5"/>
        <v>10</v>
      </c>
      <c r="I50" s="4" t="str">
        <f t="shared" si="6"/>
        <v>D</v>
      </c>
      <c r="J50" s="2" t="str">
        <f t="shared" si="7"/>
        <v>Fair</v>
      </c>
      <c r="K50" s="6"/>
      <c r="L50" s="6"/>
      <c r="M50" s="6"/>
      <c r="N50" s="6"/>
      <c r="O50" s="6"/>
      <c r="P50" s="6"/>
    </row>
    <row r="51" spans="1:16" x14ac:dyDescent="0.3">
      <c r="A51" s="6"/>
      <c r="B51" s="6"/>
      <c r="C51" s="2" t="s">
        <v>21</v>
      </c>
      <c r="D51" s="3">
        <v>4</v>
      </c>
      <c r="E51" s="3">
        <v>14</v>
      </c>
      <c r="F51" s="3">
        <v>44</v>
      </c>
      <c r="G51" s="3">
        <f t="shared" si="4"/>
        <v>62</v>
      </c>
      <c r="H51" s="3">
        <f t="shared" si="5"/>
        <v>9</v>
      </c>
      <c r="I51" s="4" t="str">
        <f t="shared" si="6"/>
        <v>B</v>
      </c>
      <c r="J51" s="2" t="str">
        <f t="shared" si="7"/>
        <v>Very Good</v>
      </c>
      <c r="K51" s="6"/>
      <c r="L51" s="6"/>
      <c r="M51" s="6"/>
      <c r="N51" s="6"/>
      <c r="O51" s="6"/>
      <c r="P51" s="6"/>
    </row>
    <row r="52" spans="1:16" x14ac:dyDescent="0.3">
      <c r="A52" s="6"/>
      <c r="B52" s="6"/>
      <c r="C52" s="2" t="s">
        <v>22</v>
      </c>
      <c r="D52" s="3">
        <v>8</v>
      </c>
      <c r="E52" s="3">
        <v>11</v>
      </c>
      <c r="F52" s="3">
        <v>39</v>
      </c>
      <c r="G52" s="3">
        <f t="shared" si="4"/>
        <v>58</v>
      </c>
      <c r="H52" s="3">
        <f t="shared" si="5"/>
        <v>9</v>
      </c>
      <c r="I52" s="4" t="str">
        <f t="shared" si="6"/>
        <v>C</v>
      </c>
      <c r="J52" s="2" t="str">
        <f t="shared" si="7"/>
        <v>Good</v>
      </c>
      <c r="K52" s="6"/>
      <c r="L52" s="6"/>
      <c r="M52" s="6"/>
      <c r="N52" s="6"/>
      <c r="O52" s="6"/>
      <c r="P52" s="6"/>
    </row>
    <row r="53" spans="1:16" x14ac:dyDescent="0.3">
      <c r="A53" s="6"/>
      <c r="B53" s="6"/>
      <c r="C53" s="2" t="s">
        <v>23</v>
      </c>
      <c r="D53" s="3">
        <v>5</v>
      </c>
      <c r="E53" s="3">
        <v>13</v>
      </c>
      <c r="F53" s="3">
        <v>37</v>
      </c>
      <c r="G53" s="3">
        <f t="shared" si="4"/>
        <v>55</v>
      </c>
      <c r="H53" s="3">
        <f t="shared" si="5"/>
        <v>10</v>
      </c>
      <c r="I53" s="4" t="str">
        <f t="shared" si="6"/>
        <v>C</v>
      </c>
      <c r="J53" s="2" t="str">
        <f t="shared" si="7"/>
        <v>Good</v>
      </c>
      <c r="K53" s="6"/>
      <c r="L53" s="6"/>
      <c r="M53" s="6"/>
      <c r="N53" s="6"/>
      <c r="O53" s="6"/>
      <c r="P53" s="6"/>
    </row>
    <row r="54" spans="1:16" x14ac:dyDescent="0.3">
      <c r="A54" s="6"/>
      <c r="B54" s="6"/>
      <c r="C54" s="2" t="s">
        <v>24</v>
      </c>
      <c r="D54" s="3">
        <v>3</v>
      </c>
      <c r="E54" s="3">
        <v>8</v>
      </c>
      <c r="F54" s="3">
        <v>30</v>
      </c>
      <c r="G54" s="3">
        <f t="shared" si="4"/>
        <v>41</v>
      </c>
      <c r="H54" s="3">
        <f t="shared" si="5"/>
        <v>10</v>
      </c>
      <c r="I54" s="4" t="str">
        <f t="shared" si="6"/>
        <v>D</v>
      </c>
      <c r="J54" s="2" t="str">
        <f t="shared" si="7"/>
        <v>Fair</v>
      </c>
      <c r="K54" s="6"/>
      <c r="L54" s="6"/>
      <c r="M54" s="6"/>
      <c r="N54" s="6"/>
      <c r="O54" s="6"/>
      <c r="P54" s="6"/>
    </row>
    <row r="55" spans="1:16" ht="22.95" customHeight="1" x14ac:dyDescent="0.3">
      <c r="A55" s="7"/>
      <c r="B55" s="7"/>
      <c r="C55" s="2" t="s">
        <v>25</v>
      </c>
      <c r="D55" s="3">
        <v>1</v>
      </c>
      <c r="E55" s="3">
        <v>11</v>
      </c>
      <c r="F55" s="3">
        <v>27</v>
      </c>
      <c r="G55" s="3">
        <f t="shared" si="4"/>
        <v>39</v>
      </c>
      <c r="H55" s="3">
        <f t="shared" si="5"/>
        <v>10</v>
      </c>
      <c r="I55" s="4" t="str">
        <f t="shared" si="6"/>
        <v>E</v>
      </c>
      <c r="J55" s="2" t="str">
        <f t="shared" si="7"/>
        <v>Needs Improvement</v>
      </c>
      <c r="K55" s="7"/>
      <c r="L55" s="7"/>
      <c r="M55" s="7"/>
      <c r="N55" s="7"/>
      <c r="O55" s="7"/>
      <c r="P55" s="7"/>
    </row>
    <row r="56" spans="1:16" x14ac:dyDescent="0.3">
      <c r="A56" s="10" t="s">
        <v>35</v>
      </c>
      <c r="B56" s="9" t="s">
        <v>36</v>
      </c>
      <c r="C56" s="2" t="s">
        <v>17</v>
      </c>
      <c r="D56" s="3">
        <v>4</v>
      </c>
      <c r="E56" s="3">
        <v>9</v>
      </c>
      <c r="F56" s="3">
        <v>45</v>
      </c>
      <c r="G56" s="3">
        <f t="shared" si="4"/>
        <v>58</v>
      </c>
      <c r="H56" s="3">
        <f t="shared" si="5"/>
        <v>6</v>
      </c>
      <c r="I56" s="4" t="str">
        <f t="shared" si="6"/>
        <v>C</v>
      </c>
      <c r="J56" s="2" t="str">
        <f t="shared" si="7"/>
        <v>Good</v>
      </c>
      <c r="K56" s="8">
        <f>SUM(D56:D64)</f>
        <v>60</v>
      </c>
      <c r="L56" s="8">
        <f>SUM(E56:E64)</f>
        <v>129</v>
      </c>
      <c r="M56" s="8">
        <f>SUM(F56:F64)</f>
        <v>473</v>
      </c>
      <c r="N56" s="8">
        <f>SUM(G56:G64)</f>
        <v>662</v>
      </c>
      <c r="O56" s="5">
        <f>ROUND(AVERAGE(G56:G64),2)</f>
        <v>73.56</v>
      </c>
      <c r="P56" s="5">
        <f>ROUND(AVERAGE($G$2:$G$91),2)</f>
        <v>67.87</v>
      </c>
    </row>
    <row r="57" spans="1:16" x14ac:dyDescent="0.3">
      <c r="A57" s="6"/>
      <c r="B57" s="6"/>
      <c r="C57" s="2" t="s">
        <v>18</v>
      </c>
      <c r="D57" s="3">
        <v>6</v>
      </c>
      <c r="E57" s="3">
        <v>13</v>
      </c>
      <c r="F57" s="3">
        <v>51</v>
      </c>
      <c r="G57" s="3">
        <f t="shared" si="4"/>
        <v>70</v>
      </c>
      <c r="H57" s="3">
        <f t="shared" si="5"/>
        <v>4</v>
      </c>
      <c r="I57" s="4" t="str">
        <f t="shared" si="6"/>
        <v>A</v>
      </c>
      <c r="J57" s="2" t="str">
        <f t="shared" si="7"/>
        <v>Excellent</v>
      </c>
      <c r="K57" s="6"/>
      <c r="L57" s="6"/>
      <c r="M57" s="6"/>
      <c r="N57" s="6"/>
      <c r="O57" s="6"/>
      <c r="P57" s="6"/>
    </row>
    <row r="58" spans="1:16" x14ac:dyDescent="0.3">
      <c r="A58" s="6"/>
      <c r="B58" s="6"/>
      <c r="C58" s="2" t="s">
        <v>19</v>
      </c>
      <c r="D58" s="3">
        <v>3</v>
      </c>
      <c r="E58" s="3">
        <v>15</v>
      </c>
      <c r="F58" s="3">
        <v>45</v>
      </c>
      <c r="G58" s="3">
        <f t="shared" si="4"/>
        <v>63</v>
      </c>
      <c r="H58" s="3">
        <f t="shared" si="5"/>
        <v>8</v>
      </c>
      <c r="I58" s="4" t="str">
        <f t="shared" si="6"/>
        <v>B</v>
      </c>
      <c r="J58" s="2" t="str">
        <f t="shared" si="7"/>
        <v>Very Good</v>
      </c>
      <c r="K58" s="6"/>
      <c r="L58" s="6"/>
      <c r="M58" s="6"/>
      <c r="N58" s="6"/>
      <c r="O58" s="6"/>
      <c r="P58" s="6"/>
    </row>
    <row r="59" spans="1:16" x14ac:dyDescent="0.3">
      <c r="A59" s="6"/>
      <c r="B59" s="6"/>
      <c r="C59" s="2" t="s">
        <v>20</v>
      </c>
      <c r="D59" s="3">
        <v>9</v>
      </c>
      <c r="E59" s="3">
        <v>16</v>
      </c>
      <c r="F59" s="3">
        <v>49</v>
      </c>
      <c r="G59" s="3">
        <f t="shared" si="4"/>
        <v>74</v>
      </c>
      <c r="H59" s="3">
        <f t="shared" si="5"/>
        <v>2</v>
      </c>
      <c r="I59" s="4" t="str">
        <f t="shared" si="6"/>
        <v>A</v>
      </c>
      <c r="J59" s="2" t="str">
        <f t="shared" si="7"/>
        <v>Excellent</v>
      </c>
      <c r="K59" s="6"/>
      <c r="L59" s="6"/>
      <c r="M59" s="6"/>
      <c r="N59" s="6"/>
      <c r="O59" s="6"/>
      <c r="P59" s="6"/>
    </row>
    <row r="60" spans="1:16" x14ac:dyDescent="0.3">
      <c r="A60" s="6"/>
      <c r="B60" s="6"/>
      <c r="C60" s="2" t="s">
        <v>21</v>
      </c>
      <c r="D60" s="3">
        <v>9</v>
      </c>
      <c r="E60" s="3">
        <v>18</v>
      </c>
      <c r="F60" s="3">
        <v>45</v>
      </c>
      <c r="G60" s="3">
        <f t="shared" si="4"/>
        <v>72</v>
      </c>
      <c r="H60" s="3">
        <f t="shared" si="5"/>
        <v>5</v>
      </c>
      <c r="I60" s="4" t="str">
        <f t="shared" si="6"/>
        <v>A</v>
      </c>
      <c r="J60" s="2" t="str">
        <f t="shared" si="7"/>
        <v>Excellent</v>
      </c>
      <c r="K60" s="6"/>
      <c r="L60" s="6"/>
      <c r="M60" s="6"/>
      <c r="N60" s="6"/>
      <c r="O60" s="6"/>
      <c r="P60" s="6"/>
    </row>
    <row r="61" spans="1:16" x14ac:dyDescent="0.3">
      <c r="A61" s="6"/>
      <c r="B61" s="6"/>
      <c r="C61" s="2" t="s">
        <v>22</v>
      </c>
      <c r="D61" s="3">
        <v>6</v>
      </c>
      <c r="E61" s="3">
        <v>18</v>
      </c>
      <c r="F61" s="3">
        <v>63</v>
      </c>
      <c r="G61" s="3">
        <f t="shared" si="4"/>
        <v>87</v>
      </c>
      <c r="H61" s="3">
        <f t="shared" si="5"/>
        <v>2</v>
      </c>
      <c r="I61" s="4" t="str">
        <f t="shared" si="6"/>
        <v>A</v>
      </c>
      <c r="J61" s="2" t="str">
        <f t="shared" si="7"/>
        <v>Excellent</v>
      </c>
      <c r="K61" s="6"/>
      <c r="L61" s="6"/>
      <c r="M61" s="6"/>
      <c r="N61" s="6"/>
      <c r="O61" s="6"/>
      <c r="P61" s="6"/>
    </row>
    <row r="62" spans="1:16" x14ac:dyDescent="0.3">
      <c r="A62" s="6"/>
      <c r="B62" s="6"/>
      <c r="C62" s="2" t="s">
        <v>23</v>
      </c>
      <c r="D62" s="3">
        <v>5</v>
      </c>
      <c r="E62" s="3">
        <v>12</v>
      </c>
      <c r="F62" s="3">
        <v>53</v>
      </c>
      <c r="G62" s="3">
        <f t="shared" si="4"/>
        <v>70</v>
      </c>
      <c r="H62" s="3">
        <f t="shared" si="5"/>
        <v>6</v>
      </c>
      <c r="I62" s="4" t="str">
        <f t="shared" si="6"/>
        <v>A</v>
      </c>
      <c r="J62" s="2" t="str">
        <f t="shared" si="7"/>
        <v>Excellent</v>
      </c>
      <c r="K62" s="6"/>
      <c r="L62" s="6"/>
      <c r="M62" s="6"/>
      <c r="N62" s="6"/>
      <c r="O62" s="6"/>
      <c r="P62" s="6"/>
    </row>
    <row r="63" spans="1:16" x14ac:dyDescent="0.3">
      <c r="A63" s="6"/>
      <c r="B63" s="6"/>
      <c r="C63" s="2" t="s">
        <v>24</v>
      </c>
      <c r="D63" s="3">
        <v>8</v>
      </c>
      <c r="E63" s="3">
        <v>18</v>
      </c>
      <c r="F63" s="3">
        <v>64</v>
      </c>
      <c r="G63" s="3">
        <f t="shared" si="4"/>
        <v>90</v>
      </c>
      <c r="H63" s="3">
        <f t="shared" si="5"/>
        <v>1</v>
      </c>
      <c r="I63" s="4" t="str">
        <f t="shared" si="6"/>
        <v>A</v>
      </c>
      <c r="J63" s="2" t="str">
        <f t="shared" si="7"/>
        <v>Excellent</v>
      </c>
      <c r="K63" s="6"/>
      <c r="L63" s="6"/>
      <c r="M63" s="6"/>
      <c r="N63" s="6"/>
      <c r="O63" s="6"/>
      <c r="P63" s="6"/>
    </row>
    <row r="64" spans="1:16" x14ac:dyDescent="0.3">
      <c r="A64" s="7"/>
      <c r="B64" s="7"/>
      <c r="C64" s="2" t="s">
        <v>25</v>
      </c>
      <c r="D64" s="3">
        <v>10</v>
      </c>
      <c r="E64" s="3">
        <v>10</v>
      </c>
      <c r="F64" s="3">
        <v>58</v>
      </c>
      <c r="G64" s="3">
        <f t="shared" si="4"/>
        <v>78</v>
      </c>
      <c r="H64" s="3">
        <f t="shared" si="5"/>
        <v>4</v>
      </c>
      <c r="I64" s="4" t="str">
        <f t="shared" si="6"/>
        <v>A</v>
      </c>
      <c r="J64" s="2" t="str">
        <f t="shared" si="7"/>
        <v>Excellent</v>
      </c>
      <c r="K64" s="7"/>
      <c r="L64" s="7"/>
      <c r="M64" s="7"/>
      <c r="N64" s="7"/>
      <c r="O64" s="7"/>
      <c r="P64" s="7"/>
    </row>
    <row r="65" spans="1:16" x14ac:dyDescent="0.3">
      <c r="A65" s="10" t="s">
        <v>37</v>
      </c>
      <c r="B65" s="9" t="s">
        <v>38</v>
      </c>
      <c r="C65" s="2" t="s">
        <v>17</v>
      </c>
      <c r="D65" s="3">
        <v>6</v>
      </c>
      <c r="E65" s="3">
        <v>18</v>
      </c>
      <c r="F65" s="3">
        <v>56</v>
      </c>
      <c r="G65" s="3">
        <f t="shared" si="4"/>
        <v>80</v>
      </c>
      <c r="H65" s="3">
        <f t="shared" si="5"/>
        <v>1</v>
      </c>
      <c r="I65" s="4" t="str">
        <f t="shared" si="6"/>
        <v>A</v>
      </c>
      <c r="J65" s="2" t="str">
        <f t="shared" si="7"/>
        <v>Excellent</v>
      </c>
      <c r="K65" s="8">
        <f>SUM(D65:D73)</f>
        <v>60</v>
      </c>
      <c r="L65" s="8">
        <f>SUM(E65:E73)</f>
        <v>141</v>
      </c>
      <c r="M65" s="8">
        <f>SUM(F65:F73)</f>
        <v>514</v>
      </c>
      <c r="N65" s="8">
        <f>SUM(G65:G73)</f>
        <v>715</v>
      </c>
      <c r="O65" s="5">
        <f>ROUND(AVERAGE(G65:G73),2)</f>
        <v>79.44</v>
      </c>
      <c r="P65" s="5">
        <f>ROUND(AVERAGE($G$2:$G$91),2)</f>
        <v>67.87</v>
      </c>
    </row>
    <row r="66" spans="1:16" x14ac:dyDescent="0.3">
      <c r="A66" s="6"/>
      <c r="B66" s="6"/>
      <c r="C66" s="2" t="s">
        <v>18</v>
      </c>
      <c r="D66" s="3">
        <v>10</v>
      </c>
      <c r="E66" s="3">
        <v>14</v>
      </c>
      <c r="F66" s="3">
        <v>66</v>
      </c>
      <c r="G66" s="3">
        <f t="shared" ref="G66:G97" si="8">D66+E66+F66</f>
        <v>90</v>
      </c>
      <c r="H66" s="3">
        <f t="shared" ref="H66:H97" si="9">1+SUMPRODUCT(($C$2:$C$91=C66)*($G$2:$G$91&gt;G66))</f>
        <v>1</v>
      </c>
      <c r="I66" s="4" t="str">
        <f t="shared" ref="I66:I91" si="10">IF(G66&gt;=70,"A",IF(G66&gt;=60,"B",IF(G66&gt;=50,"C",IF(G66&gt;=40,"D","E"))))</f>
        <v>A</v>
      </c>
      <c r="J66" s="2" t="str">
        <f t="shared" ref="J66:J91" si="11">IF(G66&gt;=70,"Excellent",IF(G66&gt;=60,"Very Good",IF(G66&gt;=50,"Good",IF(G66&gt;=40,"Fair","Needs Improvement"))))</f>
        <v>Excellent</v>
      </c>
      <c r="K66" s="6"/>
      <c r="L66" s="6"/>
      <c r="M66" s="6"/>
      <c r="N66" s="6"/>
      <c r="O66" s="6"/>
      <c r="P66" s="6"/>
    </row>
    <row r="67" spans="1:16" x14ac:dyDescent="0.3">
      <c r="A67" s="6"/>
      <c r="B67" s="6"/>
      <c r="C67" s="2" t="s">
        <v>19</v>
      </c>
      <c r="D67" s="3">
        <v>6</v>
      </c>
      <c r="E67" s="3">
        <v>18</v>
      </c>
      <c r="F67" s="3">
        <v>50</v>
      </c>
      <c r="G67" s="3">
        <f t="shared" si="8"/>
        <v>74</v>
      </c>
      <c r="H67" s="3">
        <f t="shared" si="9"/>
        <v>5</v>
      </c>
      <c r="I67" s="4" t="str">
        <f t="shared" si="10"/>
        <v>A</v>
      </c>
      <c r="J67" s="2" t="str">
        <f t="shared" si="11"/>
        <v>Excellent</v>
      </c>
      <c r="K67" s="6"/>
      <c r="L67" s="6"/>
      <c r="M67" s="6"/>
      <c r="N67" s="6"/>
      <c r="O67" s="6"/>
      <c r="P67" s="6"/>
    </row>
    <row r="68" spans="1:16" x14ac:dyDescent="0.3">
      <c r="A68" s="6"/>
      <c r="B68" s="6"/>
      <c r="C68" s="2" t="s">
        <v>20</v>
      </c>
      <c r="D68" s="3">
        <v>8</v>
      </c>
      <c r="E68" s="3">
        <v>14</v>
      </c>
      <c r="F68" s="3">
        <v>55</v>
      </c>
      <c r="G68" s="3">
        <f t="shared" si="8"/>
        <v>77</v>
      </c>
      <c r="H68" s="3">
        <f t="shared" si="9"/>
        <v>1</v>
      </c>
      <c r="I68" s="4" t="str">
        <f t="shared" si="10"/>
        <v>A</v>
      </c>
      <c r="J68" s="2" t="str">
        <f t="shared" si="11"/>
        <v>Excellent</v>
      </c>
      <c r="K68" s="6"/>
      <c r="L68" s="6"/>
      <c r="M68" s="6"/>
      <c r="N68" s="6"/>
      <c r="O68" s="6"/>
      <c r="P68" s="6"/>
    </row>
    <row r="69" spans="1:16" x14ac:dyDescent="0.3">
      <c r="A69" s="6"/>
      <c r="B69" s="6"/>
      <c r="C69" s="2" t="s">
        <v>21</v>
      </c>
      <c r="D69" s="3">
        <v>6</v>
      </c>
      <c r="E69" s="3">
        <v>12</v>
      </c>
      <c r="F69" s="3">
        <v>62</v>
      </c>
      <c r="G69" s="3">
        <f t="shared" si="8"/>
        <v>80</v>
      </c>
      <c r="H69" s="3">
        <f t="shared" si="9"/>
        <v>2</v>
      </c>
      <c r="I69" s="4" t="str">
        <f t="shared" si="10"/>
        <v>A</v>
      </c>
      <c r="J69" s="2" t="str">
        <f t="shared" si="11"/>
        <v>Excellent</v>
      </c>
      <c r="K69" s="6"/>
      <c r="L69" s="6"/>
      <c r="M69" s="6"/>
      <c r="N69" s="6"/>
      <c r="O69" s="6"/>
      <c r="P69" s="6"/>
    </row>
    <row r="70" spans="1:16" x14ac:dyDescent="0.3">
      <c r="A70" s="6"/>
      <c r="B70" s="6"/>
      <c r="C70" s="2" t="s">
        <v>22</v>
      </c>
      <c r="D70" s="3">
        <v>5</v>
      </c>
      <c r="E70" s="3">
        <v>20</v>
      </c>
      <c r="F70" s="3">
        <v>54</v>
      </c>
      <c r="G70" s="3">
        <f t="shared" si="8"/>
        <v>79</v>
      </c>
      <c r="H70" s="3">
        <f t="shared" si="9"/>
        <v>4</v>
      </c>
      <c r="I70" s="4" t="str">
        <f t="shared" si="10"/>
        <v>A</v>
      </c>
      <c r="J70" s="2" t="str">
        <f t="shared" si="11"/>
        <v>Excellent</v>
      </c>
      <c r="K70" s="6"/>
      <c r="L70" s="6"/>
      <c r="M70" s="6"/>
      <c r="N70" s="6"/>
      <c r="O70" s="6"/>
      <c r="P70" s="6"/>
    </row>
    <row r="71" spans="1:16" x14ac:dyDescent="0.3">
      <c r="A71" s="6"/>
      <c r="B71" s="6"/>
      <c r="C71" s="2" t="s">
        <v>23</v>
      </c>
      <c r="D71" s="3">
        <v>6</v>
      </c>
      <c r="E71" s="3">
        <v>16</v>
      </c>
      <c r="F71" s="3">
        <v>55</v>
      </c>
      <c r="G71" s="3">
        <f t="shared" si="8"/>
        <v>77</v>
      </c>
      <c r="H71" s="3">
        <f t="shared" si="9"/>
        <v>2</v>
      </c>
      <c r="I71" s="4" t="str">
        <f t="shared" si="10"/>
        <v>A</v>
      </c>
      <c r="J71" s="2" t="str">
        <f t="shared" si="11"/>
        <v>Excellent</v>
      </c>
      <c r="K71" s="6"/>
      <c r="L71" s="6"/>
      <c r="M71" s="6"/>
      <c r="N71" s="6"/>
      <c r="O71" s="6"/>
      <c r="P71" s="6"/>
    </row>
    <row r="72" spans="1:16" x14ac:dyDescent="0.3">
      <c r="A72" s="6"/>
      <c r="B72" s="6"/>
      <c r="C72" s="2" t="s">
        <v>24</v>
      </c>
      <c r="D72" s="3">
        <v>8</v>
      </c>
      <c r="E72" s="3">
        <v>17</v>
      </c>
      <c r="F72" s="3">
        <v>59</v>
      </c>
      <c r="G72" s="3">
        <f t="shared" si="8"/>
        <v>84</v>
      </c>
      <c r="H72" s="3">
        <f t="shared" si="9"/>
        <v>3</v>
      </c>
      <c r="I72" s="4" t="str">
        <f t="shared" si="10"/>
        <v>A</v>
      </c>
      <c r="J72" s="2" t="str">
        <f t="shared" si="11"/>
        <v>Excellent</v>
      </c>
      <c r="K72" s="6"/>
      <c r="L72" s="6"/>
      <c r="M72" s="6"/>
      <c r="N72" s="6"/>
      <c r="O72" s="6"/>
      <c r="P72" s="6"/>
    </row>
    <row r="73" spans="1:16" x14ac:dyDescent="0.3">
      <c r="A73" s="7"/>
      <c r="B73" s="7"/>
      <c r="C73" s="2" t="s">
        <v>25</v>
      </c>
      <c r="D73" s="3">
        <v>5</v>
      </c>
      <c r="E73" s="3">
        <v>12</v>
      </c>
      <c r="F73" s="3">
        <v>57</v>
      </c>
      <c r="G73" s="3">
        <f t="shared" si="8"/>
        <v>74</v>
      </c>
      <c r="H73" s="3">
        <f t="shared" si="9"/>
        <v>5</v>
      </c>
      <c r="I73" s="4" t="str">
        <f t="shared" si="10"/>
        <v>A</v>
      </c>
      <c r="J73" s="2" t="str">
        <f t="shared" si="11"/>
        <v>Excellent</v>
      </c>
      <c r="K73" s="7"/>
      <c r="L73" s="7"/>
      <c r="M73" s="7"/>
      <c r="N73" s="7"/>
      <c r="O73" s="7"/>
      <c r="P73" s="7"/>
    </row>
    <row r="74" spans="1:16" x14ac:dyDescent="0.3">
      <c r="A74" s="10" t="s">
        <v>39</v>
      </c>
      <c r="B74" s="9" t="s">
        <v>40</v>
      </c>
      <c r="C74" s="2" t="s">
        <v>17</v>
      </c>
      <c r="D74" s="3">
        <v>4</v>
      </c>
      <c r="E74" s="3">
        <v>12</v>
      </c>
      <c r="F74" s="3">
        <v>38</v>
      </c>
      <c r="G74" s="3">
        <f t="shared" si="8"/>
        <v>54</v>
      </c>
      <c r="H74" s="3">
        <f t="shared" si="9"/>
        <v>8</v>
      </c>
      <c r="I74" s="4" t="str">
        <f t="shared" si="10"/>
        <v>C</v>
      </c>
      <c r="J74" s="2" t="str">
        <f t="shared" si="11"/>
        <v>Good</v>
      </c>
      <c r="K74" s="8">
        <f>SUM(D74:D82)</f>
        <v>58</v>
      </c>
      <c r="L74" s="8">
        <f>SUM(E74:E82)</f>
        <v>111</v>
      </c>
      <c r="M74" s="8">
        <f>SUM(F74:F82)</f>
        <v>386</v>
      </c>
      <c r="N74" s="8">
        <f>SUM(G74:G82)</f>
        <v>555</v>
      </c>
      <c r="O74" s="5">
        <f>ROUND(AVERAGE(G74:G82),2)</f>
        <v>61.67</v>
      </c>
      <c r="P74" s="5">
        <f>ROUND(AVERAGE($G$2:$G$91),2)</f>
        <v>67.87</v>
      </c>
    </row>
    <row r="75" spans="1:16" x14ac:dyDescent="0.3">
      <c r="A75" s="6"/>
      <c r="B75" s="6"/>
      <c r="C75" s="2" t="s">
        <v>18</v>
      </c>
      <c r="D75" s="3">
        <v>8</v>
      </c>
      <c r="E75" s="3">
        <v>15</v>
      </c>
      <c r="F75" s="3">
        <v>46</v>
      </c>
      <c r="G75" s="3">
        <f t="shared" si="8"/>
        <v>69</v>
      </c>
      <c r="H75" s="3">
        <f t="shared" si="9"/>
        <v>5</v>
      </c>
      <c r="I75" s="4" t="str">
        <f t="shared" si="10"/>
        <v>B</v>
      </c>
      <c r="J75" s="2" t="str">
        <f t="shared" si="11"/>
        <v>Very Good</v>
      </c>
      <c r="K75" s="6"/>
      <c r="L75" s="6"/>
      <c r="M75" s="6"/>
      <c r="N75" s="6"/>
      <c r="O75" s="6"/>
      <c r="P75" s="6"/>
    </row>
    <row r="76" spans="1:16" x14ac:dyDescent="0.3">
      <c r="A76" s="6"/>
      <c r="B76" s="6"/>
      <c r="C76" s="2" t="s">
        <v>19</v>
      </c>
      <c r="D76" s="3">
        <v>5</v>
      </c>
      <c r="E76" s="3">
        <v>12</v>
      </c>
      <c r="F76" s="3">
        <v>56</v>
      </c>
      <c r="G76" s="3">
        <f t="shared" si="8"/>
        <v>73</v>
      </c>
      <c r="H76" s="3">
        <f t="shared" si="9"/>
        <v>6</v>
      </c>
      <c r="I76" s="4" t="str">
        <f t="shared" si="10"/>
        <v>A</v>
      </c>
      <c r="J76" s="2" t="str">
        <f t="shared" si="11"/>
        <v>Excellent</v>
      </c>
      <c r="K76" s="6"/>
      <c r="L76" s="6"/>
      <c r="M76" s="6"/>
      <c r="N76" s="6"/>
      <c r="O76" s="6"/>
      <c r="P76" s="6"/>
    </row>
    <row r="77" spans="1:16" x14ac:dyDescent="0.3">
      <c r="A77" s="6"/>
      <c r="B77" s="6"/>
      <c r="C77" s="2" t="s">
        <v>20</v>
      </c>
      <c r="D77" s="3">
        <v>3</v>
      </c>
      <c r="E77" s="3">
        <v>16</v>
      </c>
      <c r="F77" s="3">
        <v>41</v>
      </c>
      <c r="G77" s="3">
        <f t="shared" si="8"/>
        <v>60</v>
      </c>
      <c r="H77" s="3">
        <f t="shared" si="9"/>
        <v>6</v>
      </c>
      <c r="I77" s="4" t="str">
        <f t="shared" si="10"/>
        <v>B</v>
      </c>
      <c r="J77" s="2" t="str">
        <f t="shared" si="11"/>
        <v>Very Good</v>
      </c>
      <c r="K77" s="6"/>
      <c r="L77" s="6"/>
      <c r="M77" s="6"/>
      <c r="N77" s="6"/>
      <c r="O77" s="6"/>
      <c r="P77" s="6"/>
    </row>
    <row r="78" spans="1:16" x14ac:dyDescent="0.3">
      <c r="A78" s="6"/>
      <c r="B78" s="6"/>
      <c r="C78" s="2" t="s">
        <v>21</v>
      </c>
      <c r="D78" s="3">
        <v>10</v>
      </c>
      <c r="E78" s="3">
        <v>15</v>
      </c>
      <c r="F78" s="3">
        <v>46</v>
      </c>
      <c r="G78" s="3">
        <f t="shared" si="8"/>
        <v>71</v>
      </c>
      <c r="H78" s="3">
        <f t="shared" si="9"/>
        <v>6</v>
      </c>
      <c r="I78" s="4" t="str">
        <f t="shared" si="10"/>
        <v>A</v>
      </c>
      <c r="J78" s="2" t="str">
        <f t="shared" si="11"/>
        <v>Excellent</v>
      </c>
      <c r="K78" s="6"/>
      <c r="L78" s="6"/>
      <c r="M78" s="6"/>
      <c r="N78" s="6"/>
      <c r="O78" s="6"/>
      <c r="P78" s="6"/>
    </row>
    <row r="79" spans="1:16" x14ac:dyDescent="0.3">
      <c r="A79" s="6"/>
      <c r="B79" s="6"/>
      <c r="C79" s="2" t="s">
        <v>22</v>
      </c>
      <c r="D79" s="3">
        <v>6</v>
      </c>
      <c r="E79" s="3">
        <v>12</v>
      </c>
      <c r="F79" s="3">
        <v>29</v>
      </c>
      <c r="G79" s="3">
        <f t="shared" si="8"/>
        <v>47</v>
      </c>
      <c r="H79" s="3">
        <f t="shared" si="9"/>
        <v>10</v>
      </c>
      <c r="I79" s="4" t="str">
        <f t="shared" si="10"/>
        <v>D</v>
      </c>
      <c r="J79" s="2" t="str">
        <f t="shared" si="11"/>
        <v>Fair</v>
      </c>
      <c r="K79" s="6"/>
      <c r="L79" s="6"/>
      <c r="M79" s="6"/>
      <c r="N79" s="6"/>
      <c r="O79" s="6"/>
      <c r="P79" s="6"/>
    </row>
    <row r="80" spans="1:16" x14ac:dyDescent="0.3">
      <c r="A80" s="6"/>
      <c r="B80" s="6"/>
      <c r="C80" s="2" t="s">
        <v>23</v>
      </c>
      <c r="D80" s="3">
        <v>5</v>
      </c>
      <c r="E80" s="3">
        <v>9</v>
      </c>
      <c r="F80" s="3">
        <v>57</v>
      </c>
      <c r="G80" s="3">
        <f t="shared" si="8"/>
        <v>71</v>
      </c>
      <c r="H80" s="3">
        <f t="shared" si="9"/>
        <v>5</v>
      </c>
      <c r="I80" s="4" t="str">
        <f t="shared" si="10"/>
        <v>A</v>
      </c>
      <c r="J80" s="2" t="str">
        <f t="shared" si="11"/>
        <v>Excellent</v>
      </c>
      <c r="K80" s="6"/>
      <c r="L80" s="6"/>
      <c r="M80" s="6"/>
      <c r="N80" s="6"/>
      <c r="O80" s="6"/>
      <c r="P80" s="6"/>
    </row>
    <row r="81" spans="1:16" x14ac:dyDescent="0.3">
      <c r="A81" s="6"/>
      <c r="B81" s="6"/>
      <c r="C81" s="2" t="s">
        <v>24</v>
      </c>
      <c r="D81" s="3">
        <v>10</v>
      </c>
      <c r="E81" s="3">
        <v>11</v>
      </c>
      <c r="F81" s="3">
        <v>42</v>
      </c>
      <c r="G81" s="3">
        <f t="shared" si="8"/>
        <v>63</v>
      </c>
      <c r="H81" s="3">
        <f t="shared" si="9"/>
        <v>7</v>
      </c>
      <c r="I81" s="4" t="str">
        <f t="shared" si="10"/>
        <v>B</v>
      </c>
      <c r="J81" s="2" t="str">
        <f t="shared" si="11"/>
        <v>Very Good</v>
      </c>
      <c r="K81" s="6"/>
      <c r="L81" s="6"/>
      <c r="M81" s="6"/>
      <c r="N81" s="6"/>
      <c r="O81" s="6"/>
      <c r="P81" s="6"/>
    </row>
    <row r="82" spans="1:16" x14ac:dyDescent="0.3">
      <c r="A82" s="7"/>
      <c r="B82" s="7"/>
      <c r="C82" s="2" t="s">
        <v>25</v>
      </c>
      <c r="D82" s="3">
        <v>7</v>
      </c>
      <c r="E82" s="3">
        <v>9</v>
      </c>
      <c r="F82" s="3">
        <v>31</v>
      </c>
      <c r="G82" s="3">
        <f t="shared" si="8"/>
        <v>47</v>
      </c>
      <c r="H82" s="3">
        <f t="shared" si="9"/>
        <v>9</v>
      </c>
      <c r="I82" s="4" t="str">
        <f t="shared" si="10"/>
        <v>D</v>
      </c>
      <c r="J82" s="2" t="str">
        <f t="shared" si="11"/>
        <v>Fair</v>
      </c>
      <c r="K82" s="7"/>
      <c r="L82" s="7"/>
      <c r="M82" s="7"/>
      <c r="N82" s="7"/>
      <c r="O82" s="7"/>
      <c r="P82" s="7"/>
    </row>
    <row r="83" spans="1:16" x14ac:dyDescent="0.3">
      <c r="A83" s="10" t="s">
        <v>41</v>
      </c>
      <c r="B83" s="9" t="s">
        <v>42</v>
      </c>
      <c r="C83" s="2" t="s">
        <v>17</v>
      </c>
      <c r="D83" s="3">
        <v>6</v>
      </c>
      <c r="E83" s="3">
        <v>14</v>
      </c>
      <c r="F83" s="3">
        <v>35</v>
      </c>
      <c r="G83" s="3">
        <f t="shared" si="8"/>
        <v>55</v>
      </c>
      <c r="H83" s="3">
        <f t="shared" si="9"/>
        <v>7</v>
      </c>
      <c r="I83" s="4" t="str">
        <f t="shared" si="10"/>
        <v>C</v>
      </c>
      <c r="J83" s="2" t="str">
        <f t="shared" si="11"/>
        <v>Good</v>
      </c>
      <c r="K83" s="8">
        <f>SUM(D83:D91)</f>
        <v>53</v>
      </c>
      <c r="L83" s="8">
        <f>SUM(E83:E91)</f>
        <v>117</v>
      </c>
      <c r="M83" s="8">
        <f>SUM(F83:F91)</f>
        <v>381</v>
      </c>
      <c r="N83" s="8">
        <f>SUM(G83:G91)</f>
        <v>551</v>
      </c>
      <c r="O83" s="5">
        <f>ROUND(AVERAGE(G83:G91),2)</f>
        <v>61.22</v>
      </c>
      <c r="P83" s="5">
        <f>ROUND(AVERAGE($G$2:$G$91),2)</f>
        <v>67.87</v>
      </c>
    </row>
    <row r="84" spans="1:16" x14ac:dyDescent="0.3">
      <c r="A84" s="6"/>
      <c r="B84" s="6"/>
      <c r="C84" s="2" t="s">
        <v>18</v>
      </c>
      <c r="D84" s="3">
        <v>5</v>
      </c>
      <c r="E84" s="3">
        <v>15</v>
      </c>
      <c r="F84" s="3">
        <v>30</v>
      </c>
      <c r="G84" s="3">
        <f t="shared" si="8"/>
        <v>50</v>
      </c>
      <c r="H84" s="3">
        <f t="shared" si="9"/>
        <v>8</v>
      </c>
      <c r="I84" s="4" t="str">
        <f t="shared" si="10"/>
        <v>C</v>
      </c>
      <c r="J84" s="2" t="str">
        <f t="shared" si="11"/>
        <v>Good</v>
      </c>
      <c r="K84" s="6"/>
      <c r="L84" s="6"/>
      <c r="M84" s="6"/>
      <c r="N84" s="6"/>
      <c r="O84" s="6"/>
      <c r="P84" s="6"/>
    </row>
    <row r="85" spans="1:16" x14ac:dyDescent="0.3">
      <c r="A85" s="6"/>
      <c r="B85" s="6"/>
      <c r="C85" s="2" t="s">
        <v>19</v>
      </c>
      <c r="D85" s="3">
        <v>6</v>
      </c>
      <c r="E85" s="3">
        <v>13</v>
      </c>
      <c r="F85" s="3">
        <v>56</v>
      </c>
      <c r="G85" s="3">
        <f t="shared" si="8"/>
        <v>75</v>
      </c>
      <c r="H85" s="3">
        <f t="shared" si="9"/>
        <v>4</v>
      </c>
      <c r="I85" s="4" t="str">
        <f t="shared" si="10"/>
        <v>A</v>
      </c>
      <c r="J85" s="2" t="str">
        <f t="shared" si="11"/>
        <v>Excellent</v>
      </c>
      <c r="K85" s="6"/>
      <c r="L85" s="6"/>
      <c r="M85" s="6"/>
      <c r="N85" s="6"/>
      <c r="O85" s="6"/>
      <c r="P85" s="6"/>
    </row>
    <row r="86" spans="1:16" x14ac:dyDescent="0.3">
      <c r="A86" s="6"/>
      <c r="B86" s="6"/>
      <c r="C86" s="2" t="s">
        <v>20</v>
      </c>
      <c r="D86" s="3">
        <v>4</v>
      </c>
      <c r="E86" s="3">
        <v>11</v>
      </c>
      <c r="F86" s="3">
        <v>43</v>
      </c>
      <c r="G86" s="3">
        <f t="shared" si="8"/>
        <v>58</v>
      </c>
      <c r="H86" s="3">
        <f t="shared" si="9"/>
        <v>7</v>
      </c>
      <c r="I86" s="4" t="str">
        <f t="shared" si="10"/>
        <v>C</v>
      </c>
      <c r="J86" s="2" t="str">
        <f t="shared" si="11"/>
        <v>Good</v>
      </c>
      <c r="K86" s="6"/>
      <c r="L86" s="6"/>
      <c r="M86" s="6"/>
      <c r="N86" s="6"/>
      <c r="O86" s="6"/>
      <c r="P86" s="6"/>
    </row>
    <row r="87" spans="1:16" x14ac:dyDescent="0.3">
      <c r="A87" s="6"/>
      <c r="B87" s="6"/>
      <c r="C87" s="2" t="s">
        <v>21</v>
      </c>
      <c r="D87" s="3">
        <v>9</v>
      </c>
      <c r="E87" s="3">
        <v>18</v>
      </c>
      <c r="F87" s="3">
        <v>42</v>
      </c>
      <c r="G87" s="3">
        <f t="shared" si="8"/>
        <v>69</v>
      </c>
      <c r="H87" s="3">
        <f t="shared" si="9"/>
        <v>7</v>
      </c>
      <c r="I87" s="4" t="str">
        <f t="shared" si="10"/>
        <v>B</v>
      </c>
      <c r="J87" s="2" t="str">
        <f t="shared" si="11"/>
        <v>Very Good</v>
      </c>
      <c r="K87" s="6"/>
      <c r="L87" s="6"/>
      <c r="M87" s="6"/>
      <c r="N87" s="6"/>
      <c r="O87" s="6"/>
      <c r="P87" s="6"/>
    </row>
    <row r="88" spans="1:16" x14ac:dyDescent="0.3">
      <c r="A88" s="6"/>
      <c r="B88" s="6"/>
      <c r="C88" s="2" t="s">
        <v>22</v>
      </c>
      <c r="D88" s="3">
        <v>5</v>
      </c>
      <c r="E88" s="3">
        <v>8</v>
      </c>
      <c r="F88" s="3">
        <v>49</v>
      </c>
      <c r="G88" s="3">
        <f t="shared" si="8"/>
        <v>62</v>
      </c>
      <c r="H88" s="3">
        <f t="shared" si="9"/>
        <v>8</v>
      </c>
      <c r="I88" s="4" t="str">
        <f t="shared" si="10"/>
        <v>B</v>
      </c>
      <c r="J88" s="2" t="str">
        <f t="shared" si="11"/>
        <v>Very Good</v>
      </c>
      <c r="K88" s="6"/>
      <c r="L88" s="6"/>
      <c r="M88" s="6"/>
      <c r="N88" s="6"/>
      <c r="O88" s="6"/>
      <c r="P88" s="6"/>
    </row>
    <row r="89" spans="1:16" x14ac:dyDescent="0.3">
      <c r="A89" s="6"/>
      <c r="B89" s="6"/>
      <c r="C89" s="2" t="s">
        <v>23</v>
      </c>
      <c r="D89" s="3">
        <v>6</v>
      </c>
      <c r="E89" s="3">
        <v>15</v>
      </c>
      <c r="F89" s="3">
        <v>44</v>
      </c>
      <c r="G89" s="3">
        <f t="shared" si="8"/>
        <v>65</v>
      </c>
      <c r="H89" s="3">
        <f t="shared" si="9"/>
        <v>9</v>
      </c>
      <c r="I89" s="4" t="str">
        <f t="shared" si="10"/>
        <v>B</v>
      </c>
      <c r="J89" s="2" t="str">
        <f t="shared" si="11"/>
        <v>Very Good</v>
      </c>
      <c r="K89" s="6"/>
      <c r="L89" s="6"/>
      <c r="M89" s="6"/>
      <c r="N89" s="6"/>
      <c r="O89" s="6"/>
      <c r="P89" s="6"/>
    </row>
    <row r="90" spans="1:16" x14ac:dyDescent="0.3">
      <c r="A90" s="6"/>
      <c r="B90" s="6"/>
      <c r="C90" s="2" t="s">
        <v>24</v>
      </c>
      <c r="D90" s="3">
        <v>7</v>
      </c>
      <c r="E90" s="3">
        <v>9</v>
      </c>
      <c r="F90" s="3">
        <v>34</v>
      </c>
      <c r="G90" s="3">
        <f t="shared" si="8"/>
        <v>50</v>
      </c>
      <c r="H90" s="3">
        <f t="shared" si="9"/>
        <v>9</v>
      </c>
      <c r="I90" s="4" t="str">
        <f t="shared" si="10"/>
        <v>C</v>
      </c>
      <c r="J90" s="2" t="str">
        <f t="shared" si="11"/>
        <v>Good</v>
      </c>
      <c r="K90" s="6"/>
      <c r="L90" s="6"/>
      <c r="M90" s="6"/>
      <c r="N90" s="6"/>
      <c r="O90" s="6"/>
      <c r="P90" s="6"/>
    </row>
    <row r="91" spans="1:16" x14ac:dyDescent="0.3">
      <c r="A91" s="7"/>
      <c r="B91" s="7"/>
      <c r="C91" s="2" t="s">
        <v>25</v>
      </c>
      <c r="D91" s="3">
        <v>5</v>
      </c>
      <c r="E91" s="3">
        <v>14</v>
      </c>
      <c r="F91" s="3">
        <v>48</v>
      </c>
      <c r="G91" s="3">
        <f t="shared" si="8"/>
        <v>67</v>
      </c>
      <c r="H91" s="3">
        <f t="shared" si="9"/>
        <v>6</v>
      </c>
      <c r="I91" s="4" t="str">
        <f t="shared" si="10"/>
        <v>B</v>
      </c>
      <c r="J91" s="2" t="str">
        <f t="shared" si="11"/>
        <v>Very Good</v>
      </c>
      <c r="K91" s="7"/>
      <c r="L91" s="7"/>
      <c r="M91" s="7"/>
      <c r="N91" s="7"/>
      <c r="O91" s="7"/>
      <c r="P91" s="7"/>
    </row>
  </sheetData>
  <mergeCells count="80">
    <mergeCell ref="M2:M10"/>
    <mergeCell ref="K11:K19"/>
    <mergeCell ref="L74:L82"/>
    <mergeCell ref="K47:K55"/>
    <mergeCell ref="P11:P19"/>
    <mergeCell ref="O47:O55"/>
    <mergeCell ref="M38:M46"/>
    <mergeCell ref="L47:L55"/>
    <mergeCell ref="N47:N55"/>
    <mergeCell ref="K20:K28"/>
    <mergeCell ref="M20:M28"/>
    <mergeCell ref="K29:K37"/>
    <mergeCell ref="A83:A91"/>
    <mergeCell ref="O38:O46"/>
    <mergeCell ref="K83:K91"/>
    <mergeCell ref="B56:B64"/>
    <mergeCell ref="O83:O91"/>
    <mergeCell ref="N56:N64"/>
    <mergeCell ref="B83:B91"/>
    <mergeCell ref="A38:A46"/>
    <mergeCell ref="M83:M91"/>
    <mergeCell ref="B47:B55"/>
    <mergeCell ref="A2:A10"/>
    <mergeCell ref="K2:K10"/>
    <mergeCell ref="P47:P55"/>
    <mergeCell ref="O11:O19"/>
    <mergeCell ref="L65:L73"/>
    <mergeCell ref="N65:N73"/>
    <mergeCell ref="A47:A55"/>
    <mergeCell ref="M47:M55"/>
    <mergeCell ref="L2:L10"/>
    <mergeCell ref="A11:A19"/>
    <mergeCell ref="B11:B19"/>
    <mergeCell ref="N2:N10"/>
    <mergeCell ref="A65:A73"/>
    <mergeCell ref="O29:O37"/>
    <mergeCell ref="A56:A64"/>
    <mergeCell ref="K56:K64"/>
    <mergeCell ref="N83:N91"/>
    <mergeCell ref="P83:P91"/>
    <mergeCell ref="B20:B28"/>
    <mergeCell ref="M56:M64"/>
    <mergeCell ref="L11:L19"/>
    <mergeCell ref="N11:N19"/>
    <mergeCell ref="N20:N28"/>
    <mergeCell ref="P20:P28"/>
    <mergeCell ref="P29:P37"/>
    <mergeCell ref="K65:K73"/>
    <mergeCell ref="K74:K82"/>
    <mergeCell ref="M74:M82"/>
    <mergeCell ref="O74:O82"/>
    <mergeCell ref="N74:N82"/>
    <mergeCell ref="P74:P82"/>
    <mergeCell ref="L83:L91"/>
    <mergeCell ref="B74:B82"/>
    <mergeCell ref="A20:A28"/>
    <mergeCell ref="L56:L64"/>
    <mergeCell ref="A29:A37"/>
    <mergeCell ref="K38:K46"/>
    <mergeCell ref="A74:A82"/>
    <mergeCell ref="B29:B37"/>
    <mergeCell ref="L20:L28"/>
    <mergeCell ref="B38:B46"/>
    <mergeCell ref="L29:L37"/>
    <mergeCell ref="P65:P73"/>
    <mergeCell ref="P2:P10"/>
    <mergeCell ref="L38:L46"/>
    <mergeCell ref="B65:B73"/>
    <mergeCell ref="N38:N46"/>
    <mergeCell ref="M29:M37"/>
    <mergeCell ref="M65:M73"/>
    <mergeCell ref="O65:O73"/>
    <mergeCell ref="N29:N37"/>
    <mergeCell ref="O56:O64"/>
    <mergeCell ref="O2:O10"/>
    <mergeCell ref="P38:P46"/>
    <mergeCell ref="P56:P64"/>
    <mergeCell ref="M11:M19"/>
    <mergeCell ref="O20:O28"/>
    <mergeCell ref="B2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Ohwofasa</cp:lastModifiedBy>
  <dcterms:modified xsi:type="dcterms:W3CDTF">2026-04-13T09:25:55Z</dcterms:modified>
</cp:coreProperties>
</file>